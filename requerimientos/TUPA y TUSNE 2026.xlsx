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ICINA DE ADMINISTRACION 2026\TUPA Y TUSNE 2026 ARIB\"/>
    </mc:Choice>
  </mc:AlternateContent>
  <xr:revisionPtr revIDLastSave="0" documentId="13_ncr:1_{B5019039-3D4B-4F0A-903C-71B845DCFCC3}" xr6:coauthVersionLast="47" xr6:coauthVersionMax="47" xr10:uidLastSave="{00000000-0000-0000-0000-000000000000}"/>
  <bookViews>
    <workbookView xWindow="780" yWindow="780" windowWidth="14625" windowHeight="14730" xr2:uid="{F23C0DC1-090E-4B7A-B6C8-7AC66BEE5E06}"/>
  </bookViews>
  <sheets>
    <sheet name="TUSNE" sheetId="5" r:id="rId1"/>
    <sheet name="TUPA" sheetId="6" r:id="rId2"/>
  </sheets>
  <definedNames>
    <definedName name="_xlnm.Print_Titles" localSheetId="1">TUPA!$1:$5</definedName>
    <definedName name="_xlnm.Print_Titles" localSheetId="0">TUSNE!$1:$6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4" i="5" l="1"/>
  <c r="D91" i="5"/>
  <c r="D68" i="5"/>
  <c r="D72" i="5"/>
  <c r="D202" i="5"/>
  <c r="D201" i="5"/>
  <c r="D199" i="5"/>
  <c r="D196" i="5"/>
  <c r="D194" i="5"/>
  <c r="D192" i="5"/>
  <c r="D189" i="5"/>
  <c r="D188" i="5"/>
  <c r="D187" i="5"/>
  <c r="D186" i="5"/>
  <c r="D185" i="5"/>
  <c r="D184" i="5"/>
  <c r="D37" i="5"/>
  <c r="D35" i="5"/>
  <c r="D17" i="5"/>
  <c r="D13" i="6"/>
  <c r="D12" i="6"/>
  <c r="D11" i="6"/>
  <c r="D9" i="6"/>
  <c r="D8" i="6"/>
  <c r="D210" i="5"/>
  <c r="D212" i="5"/>
  <c r="D208" i="5"/>
  <c r="D206" i="5"/>
  <c r="D204" i="5"/>
  <c r="D182" i="5"/>
  <c r="D180" i="5"/>
  <c r="D172" i="5"/>
  <c r="D157" i="5"/>
  <c r="D156" i="5"/>
  <c r="D155" i="5"/>
  <c r="D154" i="5"/>
  <c r="D144" i="5"/>
  <c r="D134" i="5"/>
  <c r="D131" i="5"/>
  <c r="D129" i="5"/>
  <c r="D126" i="5"/>
  <c r="D123" i="5"/>
  <c r="D118" i="5"/>
  <c r="D113" i="5"/>
  <c r="D110" i="5"/>
  <c r="D105" i="5"/>
  <c r="D102" i="5"/>
  <c r="D99" i="5"/>
  <c r="D96" i="5"/>
  <c r="D89" i="5"/>
  <c r="D87" i="5"/>
  <c r="D85" i="5"/>
  <c r="D83" i="5"/>
  <c r="D81" i="5"/>
  <c r="D78" i="5"/>
  <c r="D64" i="5"/>
  <c r="D61" i="5"/>
  <c r="D56" i="5"/>
  <c r="D52" i="5"/>
  <c r="D44" i="5"/>
  <c r="D40" i="5"/>
  <c r="D33" i="5"/>
  <c r="D31" i="5"/>
  <c r="D30" i="5"/>
  <c r="D29" i="5"/>
  <c r="D28" i="5"/>
  <c r="D27" i="5"/>
  <c r="D9" i="5"/>
  <c r="D32" i="5"/>
</calcChain>
</file>

<file path=xl/sharedStrings.xml><?xml version="1.0" encoding="utf-8"?>
<sst xmlns="http://schemas.openxmlformats.org/spreadsheetml/2006/main" count="505" uniqueCount="248">
  <si>
    <t>REQUISITOS</t>
  </si>
  <si>
    <t>% UIT</t>
  </si>
  <si>
    <t>PLAZO PARA RESOLVER</t>
  </si>
  <si>
    <t>DEPENDENCIA DE TÉRMINO DEL TRÁMITE</t>
  </si>
  <si>
    <t>DEPENDENCIA DEL INICIO DEL TRÁMITE</t>
  </si>
  <si>
    <t>SECRETARIA ACADEMICA</t>
  </si>
  <si>
    <t>SECRETARÍA DE DIRECCIÓN</t>
  </si>
  <si>
    <t>Nº</t>
  </si>
  <si>
    <t>AUTORIDAD QUE APRUEBA EL TRÁMITE</t>
  </si>
  <si>
    <t>PROCESO DE ADMISIÓN</t>
  </si>
  <si>
    <t>SECRETARIA ACADÉMICA</t>
  </si>
  <si>
    <t>DIRECTOR GENERAL</t>
  </si>
  <si>
    <t>PROCESO DE MATRÍCULA</t>
  </si>
  <si>
    <t>UNIDAD ADMINISTRATIVA</t>
  </si>
  <si>
    <t>SECRETARÍA ACADÉMICA</t>
  </si>
  <si>
    <t>2. RECIBO DE PAGO</t>
  </si>
  <si>
    <t>LICENCIA DE ESTUDIOS</t>
  </si>
  <si>
    <t>CONVALIDACIONES</t>
  </si>
  <si>
    <t>CONSTANCIA DE ESTUDIOS</t>
  </si>
  <si>
    <t>CONSTANCIA DE EGRESADO</t>
  </si>
  <si>
    <t>CONSTANCIA DE DISPONIBILIDAD DE VACANTE</t>
  </si>
  <si>
    <t>CERTIFICADO</t>
  </si>
  <si>
    <t>CERTIFICADO DE ESTUDIOS</t>
  </si>
  <si>
    <t>UNIDAD ACADÉMICA</t>
  </si>
  <si>
    <t>DUPLICADO DE DIPLOMA TÍTULO</t>
  </si>
  <si>
    <t>ALQUILER DE KIOSKO (MENSUAL)</t>
  </si>
  <si>
    <t>1. SOLICITUD DIRIGIDA AL DIRECTOR (FUT)</t>
  </si>
  <si>
    <t>1. RECIBO DE PAGO</t>
  </si>
  <si>
    <t>1. SOLICITUD DIRIGIDA AL DIRECTOR</t>
  </si>
  <si>
    <t>DERECHO DE TRÁMITE</t>
  </si>
  <si>
    <t>TRASLADOS</t>
  </si>
  <si>
    <t>TRASLADO INTERNO</t>
  </si>
  <si>
    <t>ALQUILERES</t>
  </si>
  <si>
    <t>ALQUILER DE PROYECTOR MULTIMEDIA POR HORA (Sin IGV)</t>
  </si>
  <si>
    <t>1. SOLICITUD DIRIGIDA AL DIRECTOR
2. RECIBO DE PAGO</t>
  </si>
  <si>
    <t>ALQUILER DE AUDITORIO INSTITUCIONAL (Sin IGV)</t>
  </si>
  <si>
    <t>INSTITUTO DE EDUCACIÓN SUPERIOR TECNOLÓGICO PÚBLICO “DE LOS ANDES” - CARUMAS</t>
  </si>
  <si>
    <t>TEXTO ÚNICO DE SERVICIOS NO EXCLUSIVOS (TUSNE)</t>
  </si>
  <si>
    <t>DENOMINACIÓN DEL SERVICIO</t>
  </si>
  <si>
    <t>NÚMERO Y DENOMINACIÓN</t>
  </si>
  <si>
    <t xml:space="preserve"> S/ </t>
  </si>
  <si>
    <t>DIAS HÁBILES</t>
  </si>
  <si>
    <t>1. FICHA DEL POSTULANTE</t>
  </si>
  <si>
    <t>3. COPIA DE DOCUMENTO NACIONA DE IDENTIDAD (DNI)</t>
  </si>
  <si>
    <t>4. COPIA DEL DNI DEL TUTOR (EN CASO SEA MENOR DE EDAD)</t>
  </si>
  <si>
    <t>5. UNA (01) FOTO TAMAÑO CARNET (ACTUAL)</t>
  </si>
  <si>
    <t>6. CERTIFICADO DE ESTUDIO SECUNDARIOS ORIGINAL</t>
  </si>
  <si>
    <t xml:space="preserve">SECRETARIA DE DIRECCIÓN Y COMISIÓN DE ADMISIÓN </t>
  </si>
  <si>
    <t xml:space="preserve">30-50 </t>
  </si>
  <si>
    <t>MATRÍCULA PARA NUEVOS ESTUDIANTES</t>
  </si>
  <si>
    <t>1. RECIBO DE PAGO POR "DERECHO DE MATRÍCULA"</t>
  </si>
  <si>
    <t>MATRÍCULA PARA ESTUDIANTES REGULARES</t>
  </si>
  <si>
    <t>MATRÍCULA PARA ESTUDIANTES EXTEMPORANEOS</t>
  </si>
  <si>
    <t>1. RECIBO DE PAGO POR "MATRÍCULA EXTEMPORÁNEA"</t>
  </si>
  <si>
    <t>CAJA DE UNIDAD ADMINISTRATIVA</t>
  </si>
  <si>
    <t>2. RECIBO DE PAGO POR "RESERVA DE MATRÍCULA"</t>
  </si>
  <si>
    <t>3. CERTIFICADO DE ESTUIOS ORIGINALES DEL INSTITUTO DE PROCEDENCIA</t>
  </si>
  <si>
    <t>4. CONSTANCIA DE NO HABER SIDO SEPARADO DE LA INSTITUCIÓN DE PROCEDENCIA</t>
  </si>
  <si>
    <t>5. PARTIDA DE NACMIENTO ORIGINAL Y/O COPIA FEDATEADA</t>
  </si>
  <si>
    <t>6. COPIA DE DOCUMENTO NACIONAL DE INDENTIDAD (DNI)</t>
  </si>
  <si>
    <t>7. UNA (01) FOTO TAMAÑO CARNET A COLOR OBLANCO Y NEGRO (ACTUAL)</t>
  </si>
  <si>
    <t>8. RECIBO DE PAGO POR "TRASLADO DE INGREO"</t>
  </si>
  <si>
    <t>TRASLADO DE INGRESO</t>
  </si>
  <si>
    <t>TRASLADO DE SALIDA</t>
  </si>
  <si>
    <t>2. CONSTANCIA DE VACANTE DE LA INSTITUCIÓN DONDE CONTINUARÁ SUS ESTUDIOS</t>
  </si>
  <si>
    <t>3. COPIA DE CONSTANCIA DE NO ADEUDO</t>
  </si>
  <si>
    <t>4. RECIBO DE PAGO POR "TRASLADO DE SALIDA"</t>
  </si>
  <si>
    <t>2. RECORD ACADÉMICO ORIGINAL DEL PROGRAMA DE ESTUDIOS DE PROCEDENCIA.</t>
  </si>
  <si>
    <t>3. CONSTANCIA DE DISPONIBILIDAD DE VACANTE</t>
  </si>
  <si>
    <t>4. RECIBO DE PAGO POR "TRASLADO INTERNO"</t>
  </si>
  <si>
    <t>2. RECIBO DE PAGO POR "LICENCIA DE ESTUDIOS"</t>
  </si>
  <si>
    <t>2. HABER APROBADO COMO MÍNIMO TODAS LA UNIDADES DIDÁCTICAS CON UNA NOTA IGUAL O SUPERIOR A 13 EN A INSTITICIÓN DE PROCEDENCIA.</t>
  </si>
  <si>
    <t>2. PARTIDA DE NACIMIENTO ORIGINAL O COPIA FEDATEADO</t>
  </si>
  <si>
    <t>MATRÍCULA DE PRIMEROS PUESTOS</t>
  </si>
  <si>
    <t xml:space="preserve">INSCRIPCIÓN DE POSTULANTES PARA EXAMEN DE ADMISIÓN EXTRAORDINARIA  </t>
  </si>
  <si>
    <t xml:space="preserve">INSCRIPCIÓN DE POSTULANTES PARA EXAMEN DE ADMISIÓN  </t>
  </si>
  <si>
    <t>7. DECLARACIÓN JURADA DEL POSTULANTE</t>
  </si>
  <si>
    <t>8. RECIBO DE PAGO POR "EXAMEN DE ADMISIÓN EXTRAORDINARIA"</t>
  </si>
  <si>
    <t>8. RECIBO DE PAGO POR "EXAMEN DE ADMISIÓN"</t>
  </si>
  <si>
    <t>7. DOCUMENTO QUE ACREDITE (PRIMEROS PUESTOS, DEPORTISTAS CALIFICADOS Y CONADIS)</t>
  </si>
  <si>
    <t>2. COPIA SIMPLE DE LA R.D. DE HABER OCUPADO EL PRIMER PUESTO</t>
  </si>
  <si>
    <t>3. COPIA SIMPLE DE LA R.D. DE HABER OCUPADO EL SEGUNDO PUESTO</t>
  </si>
  <si>
    <t>MATRÍCULA HERMANOS</t>
  </si>
  <si>
    <t>2. COPIA SIMPLE DE PARTIDA DE NACIMIENTOS DE AMBOS HERMANOS</t>
  </si>
  <si>
    <t>-</t>
  </si>
  <si>
    <t>RESERVA DE MATRÍCULA</t>
  </si>
  <si>
    <t>REINCORPORACIÓN DE ESTUDIOS</t>
  </si>
  <si>
    <t xml:space="preserve">2. COPIA DE R.D. DE RESERVA DE MATRÍCULA O LICENCIA DE ESTUDIOS </t>
  </si>
  <si>
    <t>3. RECIBO DE PAGO POR "REINCORPORACIÓN DE ESTUDIOS"</t>
  </si>
  <si>
    <t>DIRECTOR GENERAL SECRETARIA ACADÉMICA</t>
  </si>
  <si>
    <t>DIRECTOR GENERAL SECRETARÍA ACADÉMICA</t>
  </si>
  <si>
    <t>CONVALIDACION POR UNIDAD DIDÁCTICA</t>
  </si>
  <si>
    <t>3. COPIA DE SÍLABOS FIRMADOS Y SELLADOS (FEDATEADOS)</t>
  </si>
  <si>
    <t>4. RECIBO DE PAGO POR "CONVALIDACIÓN DE PLANES DE ESTUDIO"</t>
  </si>
  <si>
    <t>4. RECIBO DE PAGO POR "CONVALIDACIÓN POR UND. COMPETENCIA"</t>
  </si>
  <si>
    <t>DIRECTOR GENERAL / SECRETARIA ACADÉMICA / JEFATURA ACADÉMICAS</t>
  </si>
  <si>
    <t>3. RECIBO DE PAGO POR "CONSTANCIA DE NO ADEUDAR"</t>
  </si>
  <si>
    <t>AUTENTICACIÓN DE DOCUMENTOS</t>
  </si>
  <si>
    <t>2. DOCUMENTO ORIGINAL</t>
  </si>
  <si>
    <t>3. COPIA DEL DOCUMENTO ORIGINAL</t>
  </si>
  <si>
    <t>3. RECIBO DE PAGO POR "AUTENTICACIÓN DE DOCUMENTOS"</t>
  </si>
  <si>
    <t>FEDATARIO DE UNIDAD ADMINISTRATIVA</t>
  </si>
  <si>
    <t>RECORD ACADÉMICO</t>
  </si>
  <si>
    <t>2. RECIBO DE PAGO POR "RECORD ACADÉMICO"</t>
  </si>
  <si>
    <t>COPIA DEL EXPEDIENTE DEL ESTUDIANTE</t>
  </si>
  <si>
    <t>2. RECIBO DE PAGO POR "COPIA DE EXPEDIENTE DEL ESTUDIANTE"</t>
  </si>
  <si>
    <t>2. UNA (01) FOTO TAMAÑO CARNET A COLOR O BLANCO Y NEGRO</t>
  </si>
  <si>
    <t>4. RECIBO DE PAGO POR "AUTENTICACIÓN DE DOCUMENTOS"</t>
  </si>
  <si>
    <t>CERTIFICADO MODULAR</t>
  </si>
  <si>
    <t>4. RECIBO DE PAGO POR "CERTIFICADO MODULAR"</t>
  </si>
  <si>
    <t>CAMBIO DE NOMBRE Y APELLIDO</t>
  </si>
  <si>
    <t>2. COPIA FEDATEADA DE PARTIDA DE NACIMIENTO (RECTIFICADA)</t>
  </si>
  <si>
    <t>3. COPIA LEGALIZADA DEL NUEVO DOCUMENTO NACIONAL DE IDENTIDAD</t>
  </si>
  <si>
    <t>4. RECIBO DE PAGO POR "CAMBIO DE NOMBRE Y APELLIDO"</t>
  </si>
  <si>
    <t>CONSTANCIAS</t>
  </si>
  <si>
    <t>2. RECIBO DE PAGO POR "CONSTANCIA DE ESTUDIOS"</t>
  </si>
  <si>
    <t>CONSTANCIA DE MATRÍCULA</t>
  </si>
  <si>
    <t>2. RECIBO DE PAGO POR "CONSTANCIA DE MATRÍCULA"</t>
  </si>
  <si>
    <t>2. RECIBO DE PAGO POR "CONST. DE DISPONIBILIDAD DE VACANTE"</t>
  </si>
  <si>
    <t>CONSTANCIA DE BIBLIOTECA</t>
  </si>
  <si>
    <t>2. RECIBO DE PAGO POR "CONSTANCIA DE BIBLIOTECA"</t>
  </si>
  <si>
    <t>ÁREA DE BIBLIOTECA</t>
  </si>
  <si>
    <t>CONSTANCIA DE TERCIO Y/O QUINTO SUPERIOR</t>
  </si>
  <si>
    <t>3. RECIBO DE PAGO POR "CONSTANCIA DE TERCIO - QUINTO SUPERIOR"</t>
  </si>
  <si>
    <t>DIRECCIÓN GENERAL</t>
  </si>
  <si>
    <t>REGULARIZACIÓN DE RESERVA DE MATRICULA, LICENCIAS Y REINCORPORACIÓN</t>
  </si>
  <si>
    <t>REGULARIZACIÓN DE TRÁMITE</t>
  </si>
  <si>
    <t>2. RECIBO DE PAGO POR "REGULARIZACIÓN DE ..."</t>
  </si>
  <si>
    <t>EVALUACIONES</t>
  </si>
  <si>
    <t>RECUPERACION DE UNIDADES DIDÁCTICAS DESAPROBADAS (FINALIZANDO EL SEMESTRE)</t>
  </si>
  <si>
    <t>2. RECIBO DE PAGO POR "RECUPERACIÓN DE U.D."</t>
  </si>
  <si>
    <t>2. RECIBO DE PAGO POR "EVALUACIÓN EXTRAORDINARIA"</t>
  </si>
  <si>
    <t>COORDINACIÓN DE ÁREA ACADÉMICA</t>
  </si>
  <si>
    <t>OPTENCIÓN DE TÍTULO</t>
  </si>
  <si>
    <t>EXAMEN DE SUFICIENCIA PROFESIONAL</t>
  </si>
  <si>
    <t xml:space="preserve">4. PAGO POR MEDALLA DE TITULACIÓN </t>
  </si>
  <si>
    <t>5. PAGO POR ALQUILER DE EQUIPOS (OPCIONAL)</t>
  </si>
  <si>
    <t>TRABAJO DE APLICACIÓN PROFESIONAL</t>
  </si>
  <si>
    <t>6. RECIBO DE PAGO POR "TRABAJO DE APLICACIÓN PROFESIONAL"</t>
  </si>
  <si>
    <t>JEFE DE UNIDAD ACADÉMICA / SECRETARIA ACADÉMICA</t>
  </si>
  <si>
    <t>JEFE DE UNIDAD ACADÉMICA</t>
  </si>
  <si>
    <t>3. COPIA LEGALIZADA DEL DOCUMENTO NACIONAL DE IDENTIDAD (DNI)</t>
  </si>
  <si>
    <t>6. CONSTANCIA DE EGRESADO ORIGINAL</t>
  </si>
  <si>
    <t>TRÁMITE DE TÍTULO PROFESIONAL TÉCNICO</t>
  </si>
  <si>
    <t>DIRECCIÓN GENERAL SECRETARÍA ACADÉMICA</t>
  </si>
  <si>
    <t>2. DOS (02) FOTOGRAFÍAS TAÑAMO PASAPORTE A BLANCO Y NEGRO</t>
  </si>
  <si>
    <t xml:space="preserve">4. DIPLOMA DE TÍTULO DETERIORADO CUYAS FIRMAS Y SELLOS NO SON VISIBLES SI FUERA EL CASO  </t>
  </si>
  <si>
    <t>5. COPIA FEDATEADO DE LA RESOLUCIÓN QUE OTORGA EL TÍTULO PROFESIONAL TÉCNICO</t>
  </si>
  <si>
    <t>6. RECIBO DE PAGO POR ROTULADO</t>
  </si>
  <si>
    <t>7. RECIBO DE PAGO POR DERECHO DE DUPLICADO DE TÍTULO</t>
  </si>
  <si>
    <t>ROTULADO DEL TÍTULO PROFESIONAL</t>
  </si>
  <si>
    <t>1. RECIBO DE PAGO POR ROTULADO</t>
  </si>
  <si>
    <t>PORTATÍTULO</t>
  </si>
  <si>
    <t>1. RECIBO DE PAGO POR PORTATITULO</t>
  </si>
  <si>
    <t>MEDALLA DE TITULACIÓN</t>
  </si>
  <si>
    <t>1. RECIBO DE PAGO POR MEDALLA DE TITULACIÓN</t>
  </si>
  <si>
    <t>OTROS TRÁMITES</t>
  </si>
  <si>
    <t>SECRETARIA DE DIRECCION</t>
  </si>
  <si>
    <r>
      <t xml:space="preserve">2. </t>
    </r>
    <r>
      <rPr>
        <sz val="8"/>
        <color rgb="FF000000"/>
        <rFont val="Arial"/>
        <family val="2"/>
      </rPr>
      <t>RECIBO DE PAGO POR DUPLICADO DE ACTA DE TITULACIÓN</t>
    </r>
  </si>
  <si>
    <t xml:space="preserve">DUPLICADO DE ACTA DE TITULACIÓN </t>
  </si>
  <si>
    <t>COPIA DE RECIBO DE INGRESOS</t>
  </si>
  <si>
    <r>
      <t xml:space="preserve">2. </t>
    </r>
    <r>
      <rPr>
        <sz val="8"/>
        <color rgb="FF000000"/>
        <rFont val="Arial"/>
        <family val="2"/>
      </rPr>
      <t>RECIBO DE PAGO POR COPIA DE RECIBO DE INGRESOS</t>
    </r>
  </si>
  <si>
    <t>COPIAS / IMPRESIONES</t>
  </si>
  <si>
    <t>BLANCO Y NEGRO</t>
  </si>
  <si>
    <t>A COLOR</t>
  </si>
  <si>
    <t>TEXTO ÚNICO DE PROCEDIMIENTOS ADMINISTRATIVOS (TUPA)</t>
  </si>
  <si>
    <t>TEXTO ÚNICO DE PROCEDIMIENTOS ADMINISTRATIVOS (TUPA) Y</t>
  </si>
  <si>
    <t>ALQUILER DE PROYECTOR MULTIMEDIA POR HORA</t>
  </si>
  <si>
    <t>2. RECIBO DE PAGO POR ALQUILER DE DATA</t>
  </si>
  <si>
    <t xml:space="preserve">ALQUILER DE KIOSKO (MENSUAL) </t>
  </si>
  <si>
    <t>2. RECIBO DE PAGO POR ALQUILER DE KIOSKO</t>
  </si>
  <si>
    <t>2. RECIBO DE PAGO POR ALQUILER DE AUDITORIO INSTITUCIONAL</t>
  </si>
  <si>
    <t>ALQUILER DE AUDITORIO INSTITUCIONAL (POR DÍA)</t>
  </si>
  <si>
    <t>2. RECIBO DE PAGO POR ALQUILER DE ESTACIÓN TOTAL</t>
  </si>
  <si>
    <t>2. RECIBO DE PAGO POR ALQUILER DE NIVEL TOPOGRÁFICO</t>
  </si>
  <si>
    <t>COMISIÓN DE ADMISIÓN SECRETARIA ACADÉMICA</t>
  </si>
  <si>
    <t>3. CONSTANCIA DE EFSRT</t>
  </si>
  <si>
    <t>COORDINACIÓN DE ÁREA ACADÉMICA SECRETARIA ACADÉMICA</t>
  </si>
  <si>
    <t>EVALUACIÓN EXTRAORDINARIA (EGRESADO)</t>
  </si>
  <si>
    <t>4. CONSTANCIA DE NO ADEUDO ORIGINAL</t>
  </si>
  <si>
    <t>5. CONSTANCIA DE BIBLIOTECA ORIGINAL</t>
  </si>
  <si>
    <t>2. CERTIFICADO DE ESTUDIOS ORIGINAL</t>
  </si>
  <si>
    <t>3. CONSTANCIA DE EFSRT ORIGINAL</t>
  </si>
  <si>
    <t>7. CERTIFICADO DE IDIOMAS</t>
  </si>
  <si>
    <t xml:space="preserve">8. PAGO POR MEDALLA DE TITULACIÓN </t>
  </si>
  <si>
    <t>9. PAGO POR ALQUILER DE EQUIPOS (OPCIONAL)</t>
  </si>
  <si>
    <t>10. RECIBO DE PAGO POR "EXAMEN DE SUFICIENCIA PROFESIONAL"</t>
  </si>
  <si>
    <t>5. ACTA DE TITULACIÓN ORIGINAL DE HABER APROBADO EL EXAMEN DE SUFICIENCIA O TRABAJO DE APLIACAIÓN PROFESIONAL</t>
  </si>
  <si>
    <t>6. RECIBO DE PAGO POR TRÁMITE DE TÍTULO</t>
  </si>
  <si>
    <t>7. RECIBO DE PAGO POR ROTULADO</t>
  </si>
  <si>
    <t>8. RECIBO DE PAGO POR PORTA-TÍTULO</t>
  </si>
  <si>
    <t>9. CONSTANCIA DE BIBLIOTECA DE HABER PRESENTADO INFORME DE TRABAJO DE APLICACIÓN PROFESIONAL (SOLO PARA LA MODALIDAD DE TRABAJO DE APLICACIÓN PROFESIONAL)</t>
  </si>
  <si>
    <t xml:space="preserve">3. CERTIFICADO ORIGINAL EXPEDITO POR LA AUTORIDAD COMPETENTE SOBRE LA DENUNCIA DE PÉRDIDA DEL TÍTULO </t>
  </si>
  <si>
    <t>INSTITUTO DE EDUCACIÓN SUPERIOR TECNOLÓGICO PÚBLICO “ALIANZA RENOVADA ICHUÑA BÉLGICA”</t>
  </si>
  <si>
    <t>UIT al 2025 –  S/ 5,350.00</t>
  </si>
  <si>
    <t>2. BOLETA DE NOTAS Y/O RECORD DE NOTAS (FIRMADO)</t>
  </si>
  <si>
    <t>CONVALIDACIÓN EXTERNA POR UNIDAD DIDACTICA</t>
  </si>
  <si>
    <t xml:space="preserve">2. FICHA DE NO ADEUDAR FIRMADA Y SELLADA </t>
  </si>
  <si>
    <t>MATRICULA CONADIS</t>
  </si>
  <si>
    <t>2. RECIBO DE PAGO POR "DERECHO DE MATRÍCULA"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</si>
  <si>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Si el egresado culminó sus estudios en un periodo mayor a tres (03) años o seis (06) periodos académicos, deberá adjuntar su Resolución de licencia de estudios y Resolución de Reincorporación a su trámite.</t>
    </r>
  </si>
  <si>
    <t>CURSO VIRTUAL AUSPICIADO</t>
  </si>
  <si>
    <t>1. ESTUDIANTES</t>
  </si>
  <si>
    <t>2. EGRESADOS Y DOCENTE</t>
  </si>
  <si>
    <t>3. PÚBLICO GENERAL</t>
  </si>
  <si>
    <t>CURSO PRESENCIAL AUSPICIADO</t>
  </si>
  <si>
    <t>CURSO DE ACTUALIZACIÓN PARA TITULACIÓN</t>
  </si>
  <si>
    <t>1. PÚBLICO GENERAL</t>
  </si>
  <si>
    <t>EXAMEN DE SUFICIENCIA DE IDIOMAS</t>
  </si>
  <si>
    <t>1. SOLICITUD DIRIGIDO AL DIRECTOR</t>
  </si>
  <si>
    <t>CERTIFICADO DE IDIOMAS (DUPLICADO)</t>
  </si>
  <si>
    <t>2. ACTA DE APROBACIÓN DEL EXAMEN DE SUFICIENCIA</t>
  </si>
  <si>
    <t>3. RECIBO DE PAGO</t>
  </si>
  <si>
    <t>COPIA DE ACTA DE SUSTENTACIÓN DE TITULO (FEDATADA)</t>
  </si>
  <si>
    <t>RECIBO DE PAGO</t>
  </si>
  <si>
    <t>JEFE DE UNIDAD DE FORMACIÓN CONTINUA</t>
  </si>
  <si>
    <t xml:space="preserve">FICHA DE EVALUACION DE EXPERIENCIA FORMATIVA EN SITUACIÓN REAL DE TRABAJO </t>
  </si>
  <si>
    <t xml:space="preserve">FICHA DE EVALUACION DE EFSRT </t>
  </si>
  <si>
    <t>2. RECIBO DE PAGO POR "CONSTANCIA DE EGRESADO"</t>
  </si>
  <si>
    <t>2. CERTIFICADO DE ESTUDIO ORIGINAL</t>
  </si>
  <si>
    <t>CONVALIDACIÓN DE EFSRT</t>
  </si>
  <si>
    <t>2. COPIA DE 03 ULTIMAS BOLETAS DE PAGO</t>
  </si>
  <si>
    <t>3. COPIA AUTENTICADA DE CERTIFICADO DE TRABAJO</t>
  </si>
  <si>
    <t>4. RECIBO DE PAGO POR "CONVALIDACIÓN DE EFSRT"</t>
  </si>
  <si>
    <t>4. DECLARA JURADA DESCRIPTIVA SOBRE EL DESRROLLO DE LA ACTIVIDAD LABORAL</t>
  </si>
  <si>
    <t>CONSTANCIA DE NO ADEUDAR                       (TITULO - TRASLADO)</t>
  </si>
  <si>
    <t>4. CUATRO (02) FOTOGRAFÍAS TAMAÑO PASAPORTE A BLANCO Y NEGRO</t>
  </si>
  <si>
    <t>4. CERTIFICADO DE ESTUDIOS DE EDUCACION SUPERIOR TECNOLOGICO ORIGINAL</t>
  </si>
  <si>
    <t>5. COPIA FEDATADA DE CERTIFICADOS MODULARES</t>
  </si>
  <si>
    <t>OTRAS CONSTANCIAS</t>
  </si>
  <si>
    <t>CONSTANCIA DE PRIMERA MATRICULA</t>
  </si>
  <si>
    <t>2. RECIBO DE PAGO POR "CONSTANCIA DE PRIMERA MATRÍCULA"</t>
  </si>
  <si>
    <t>2. RECIBO DE PAGO POR "OTRAS CONSTANCIAS"</t>
  </si>
  <si>
    <t>2. RECIBO DE PAGO POR "FICHA DE EVALUACION DE EFSRT"</t>
  </si>
  <si>
    <t>NOTA: el item 34 del TUSNE se tiene que implementar con una Directiva y se incorporar en el Reglamento Interno.</t>
  </si>
  <si>
    <t>DIRECTOR GENERAL /  JEFE DE UNIDAD ACADÉMICAS</t>
  </si>
  <si>
    <t xml:space="preserve">ALQUILER DE ESTACIÓN TOTAL </t>
  </si>
  <si>
    <t xml:space="preserve">ALQUILER DE NIVEL TOPOGRÁFICO </t>
  </si>
  <si>
    <t xml:space="preserve">ALQUILER DE ESTACION TOTAL </t>
  </si>
  <si>
    <t xml:space="preserve">ALQUILER DE NIVEL TOPOGRAFICO </t>
  </si>
  <si>
    <t>6. COSNTANCIA DE EGRESADO ORIGINAL</t>
  </si>
  <si>
    <t>7. CONSTANCIA DE NO ADEUDO ORIGINAL</t>
  </si>
  <si>
    <t>8. COPIA FEDATADA DE CERTIFICADO DE IDIOMAS</t>
  </si>
  <si>
    <t>COPIA DE SILABOS (POR UNIDAD DIDACTICA)</t>
  </si>
  <si>
    <r>
      <t>1.</t>
    </r>
    <r>
      <rPr>
        <sz val="8"/>
        <color rgb="FF000000"/>
        <rFont val="Times New Roman"/>
        <family val="1"/>
      </rPr>
      <t xml:space="preserve">    </t>
    </r>
    <r>
      <rPr>
        <sz val="8"/>
        <color rgb="FF000000"/>
        <rFont val="Arial"/>
        <family val="2"/>
      </rPr>
      <t>SOLICITUD DIRIGIDA AL DIRECTOR</t>
    </r>
  </si>
  <si>
    <r>
      <t>2.</t>
    </r>
    <r>
      <rPr>
        <sz val="8"/>
        <color rgb="FF000000"/>
        <rFont val="Times New Roman"/>
        <family val="1"/>
      </rPr>
      <t xml:space="preserve">    </t>
    </r>
    <r>
      <rPr>
        <sz val="8"/>
        <color rgb="FF000000"/>
        <rFont val="Arial"/>
        <family val="2"/>
      </rPr>
      <t>RECIBO DE PAGO</t>
    </r>
  </si>
  <si>
    <t>UNIDAD DE ADMINISTRACIÓN</t>
  </si>
  <si>
    <t>JEFA UNIDAD ACADEMICA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</si>
</sst>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S/-280A]\ * #,##0.00_-;\-[$S/-280A]\ * #,##0.00_-;_-[$S/-280A]\ * &quot;-&quot;??_-;_-@_-"/>
    <numFmt numFmtId="165" formatCode="[$S/-280A]\ #,##0.00;\-[$S/-280A]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1"/>
      <name val="Times New Roman"/>
      <family val="1"/>
    </font>
    <font>
      <b/>
      <sz val="16"/>
      <name val="Times New Roman"/>
      <family val="1"/>
    </font>
    <font>
      <b/>
      <sz val="9"/>
      <name val="Arial"/>
      <family val="2"/>
    </font>
    <font>
      <sz val="8"/>
      <color rgb="FF000000"/>
      <name val="Arial"/>
      <family val="2"/>
    </font>
    <font>
      <b/>
      <sz val="8"/>
      <color theme="0"/>
      <name val="Arial"/>
      <family val="2"/>
    </font>
    <font>
      <sz val="8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2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 tint="-0.499984740745262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2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9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164" fontId="3" fillId="0" borderId="1" xfId="0" applyNumberFormat="1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left" vertical="center" wrapText="1" indent="1"/>
    </xf>
    <xf numFmtId="0" fontId="3" fillId="0" borderId="10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 indent="1"/>
    </xf>
    <xf numFmtId="0" fontId="3" fillId="0" borderId="11" xfId="0" applyFont="1" applyBorder="1" applyAlignment="1">
      <alignment horizontal="left" vertical="center" wrapText="1" inden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indent="1"/>
    </xf>
    <xf numFmtId="10" fontId="3" fillId="0" borderId="1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 indent="1"/>
    </xf>
    <xf numFmtId="0" fontId="3" fillId="0" borderId="19" xfId="0" applyFont="1" applyBorder="1" applyAlignment="1">
      <alignment horizontal="left" vertical="center" wrapText="1" indent="1"/>
    </xf>
    <xf numFmtId="0" fontId="5" fillId="0" borderId="31" xfId="0" applyFont="1" applyBorder="1" applyAlignment="1">
      <alignment horizontal="left" vertical="center" wrapText="1" indent="1"/>
    </xf>
    <xf numFmtId="0" fontId="3" fillId="0" borderId="31" xfId="0" applyFont="1" applyBorder="1" applyAlignment="1">
      <alignment horizontal="left" vertical="center" wrapText="1" indent="1"/>
    </xf>
    <xf numFmtId="10" fontId="0" fillId="0" borderId="1" xfId="0" applyNumberFormat="1" applyBorder="1" applyAlignment="1">
      <alignment horizontal="center" vertical="center"/>
    </xf>
    <xf numFmtId="10" fontId="0" fillId="0" borderId="19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 indent="1"/>
    </xf>
    <xf numFmtId="0" fontId="3" fillId="5" borderId="8" xfId="0" applyFont="1" applyFill="1" applyBorder="1" applyAlignment="1">
      <alignment horizontal="left" vertical="center" wrapText="1" indent="1"/>
    </xf>
    <xf numFmtId="0" fontId="3" fillId="5" borderId="3" xfId="0" applyFont="1" applyFill="1" applyBorder="1" applyAlignment="1">
      <alignment horizontal="left" vertical="center" wrapText="1" indent="1"/>
    </xf>
    <xf numFmtId="0" fontId="3" fillId="5" borderId="9" xfId="0" applyFont="1" applyFill="1" applyBorder="1" applyAlignment="1">
      <alignment horizontal="left" vertical="center" wrapText="1" indent="1"/>
    </xf>
    <xf numFmtId="0" fontId="3" fillId="5" borderId="10" xfId="0" applyFont="1" applyFill="1" applyBorder="1" applyAlignment="1">
      <alignment horizontal="left" vertical="center" wrapText="1" indent="1"/>
    </xf>
    <xf numFmtId="0" fontId="3" fillId="5" borderId="31" xfId="0" applyFont="1" applyFill="1" applyBorder="1" applyAlignment="1">
      <alignment horizontal="left" vertical="center" wrapText="1" indent="1"/>
    </xf>
    <xf numFmtId="0" fontId="3" fillId="5" borderId="2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 indent="1"/>
    </xf>
    <xf numFmtId="10" fontId="3" fillId="5" borderId="4" xfId="0" applyNumberFormat="1" applyFont="1" applyFill="1" applyBorder="1" applyAlignment="1">
      <alignment horizontal="center" vertical="center"/>
    </xf>
    <xf numFmtId="164" fontId="3" fillId="5" borderId="4" xfId="0" applyNumberFormat="1" applyFont="1" applyFill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 indent="1"/>
    </xf>
    <xf numFmtId="10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10" fontId="3" fillId="0" borderId="32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vertical="center"/>
    </xf>
    <xf numFmtId="0" fontId="5" fillId="5" borderId="2" xfId="0" applyFont="1" applyFill="1" applyBorder="1" applyAlignment="1">
      <alignment horizontal="left" vertical="center" wrapText="1" indent="1"/>
    </xf>
    <xf numFmtId="0" fontId="3" fillId="5" borderId="19" xfId="0" applyFont="1" applyFill="1" applyBorder="1" applyAlignment="1">
      <alignment horizontal="left" vertical="center" wrapText="1" indent="1"/>
    </xf>
    <xf numFmtId="0" fontId="5" fillId="0" borderId="39" xfId="0" applyFont="1" applyBorder="1" applyAlignment="1">
      <alignment horizontal="left" vertical="center" wrapText="1" indent="1"/>
    </xf>
    <xf numFmtId="0" fontId="3" fillId="5" borderId="20" xfId="0" applyFont="1" applyFill="1" applyBorder="1" applyAlignment="1">
      <alignment horizontal="left" vertical="center" wrapText="1" indent="1"/>
    </xf>
    <xf numFmtId="0" fontId="3" fillId="0" borderId="39" xfId="0" applyFont="1" applyBorder="1" applyAlignment="1">
      <alignment horizontal="left" vertical="center" wrapText="1" indent="1"/>
    </xf>
    <xf numFmtId="0" fontId="3" fillId="5" borderId="11" xfId="0" applyFont="1" applyFill="1" applyBorder="1" applyAlignment="1">
      <alignment horizontal="left" vertical="center" wrapText="1" indent="1"/>
    </xf>
    <xf numFmtId="0" fontId="3" fillId="5" borderId="39" xfId="0" applyFont="1" applyFill="1" applyBorder="1" applyAlignment="1">
      <alignment horizontal="left" vertical="center" wrapText="1" indent="1"/>
    </xf>
    <xf numFmtId="0" fontId="3" fillId="5" borderId="16" xfId="0" applyFont="1" applyFill="1" applyBorder="1" applyAlignment="1">
      <alignment horizontal="center" vertical="center" wrapText="1"/>
    </xf>
    <xf numFmtId="10" fontId="3" fillId="5" borderId="12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0" fontId="3" fillId="5" borderId="1" xfId="1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 wrapText="1"/>
    </xf>
    <xf numFmtId="0" fontId="3" fillId="5" borderId="39" xfId="0" applyFont="1" applyFill="1" applyBorder="1" applyAlignment="1">
      <alignment horizontal="left" vertical="center" indent="1"/>
    </xf>
    <xf numFmtId="0" fontId="3" fillId="5" borderId="11" xfId="0" applyFont="1" applyFill="1" applyBorder="1" applyAlignment="1">
      <alignment horizontal="left" vertical="center" indent="1"/>
    </xf>
    <xf numFmtId="0" fontId="3" fillId="4" borderId="11" xfId="0" applyFont="1" applyFill="1" applyBorder="1" applyAlignment="1">
      <alignment horizontal="left" vertical="center" wrapText="1" indent="1"/>
    </xf>
    <xf numFmtId="0" fontId="3" fillId="4" borderId="3" xfId="0" applyFont="1" applyFill="1" applyBorder="1" applyAlignment="1">
      <alignment horizontal="left" vertical="center" wrapText="1" indent="1"/>
    </xf>
    <xf numFmtId="0" fontId="3" fillId="4" borderId="9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indent="3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10" fontId="3" fillId="5" borderId="2" xfId="0" applyNumberFormat="1" applyFont="1" applyFill="1" applyBorder="1" applyAlignment="1">
      <alignment horizontal="center" vertical="center"/>
    </xf>
    <xf numFmtId="10" fontId="3" fillId="5" borderId="20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164" fontId="3" fillId="5" borderId="20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165" fontId="3" fillId="5" borderId="4" xfId="0" applyNumberFormat="1" applyFont="1" applyFill="1" applyBorder="1" applyAlignment="1">
      <alignment horizontal="center" vertical="center"/>
    </xf>
    <xf numFmtId="10" fontId="3" fillId="5" borderId="4" xfId="0" applyNumberFormat="1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/>
    </xf>
    <xf numFmtId="10" fontId="3" fillId="5" borderId="3" xfId="0" applyNumberFormat="1" applyFont="1" applyFill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center" vertical="center"/>
    </xf>
    <xf numFmtId="164" fontId="3" fillId="5" borderId="4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/>
    </xf>
    <xf numFmtId="10" fontId="3" fillId="0" borderId="19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164" fontId="3" fillId="5" borderId="3" xfId="0" applyNumberFormat="1" applyFont="1" applyFill="1" applyBorder="1" applyAlignment="1">
      <alignment horizontal="center" vertical="center" wrapText="1"/>
    </xf>
    <xf numFmtId="164" fontId="3" fillId="5" borderId="4" xfId="0" applyNumberFormat="1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0" fontId="3" fillId="5" borderId="3" xfId="0" applyNumberFormat="1" applyFont="1" applyFill="1" applyBorder="1" applyAlignment="1">
      <alignment horizontal="center" vertical="center" wrapText="1"/>
    </xf>
    <xf numFmtId="10" fontId="3" fillId="5" borderId="4" xfId="0" applyNumberFormat="1" applyFont="1" applyFill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10" fontId="3" fillId="0" borderId="3" xfId="0" applyNumberFormat="1" applyFon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/>
    </xf>
    <xf numFmtId="10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165" fontId="3" fillId="0" borderId="1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10" fontId="3" fillId="5" borderId="19" xfId="0" applyNumberFormat="1" applyFont="1" applyFill="1" applyBorder="1" applyAlignment="1">
      <alignment horizontal="center" vertical="center"/>
    </xf>
    <xf numFmtId="164" fontId="3" fillId="5" borderId="19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10" fontId="5" fillId="0" borderId="12" xfId="0" applyNumberFormat="1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10" fontId="5" fillId="0" borderId="32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19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4" borderId="19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>
      <alignment horizontal="center" vertical="center"/>
    </xf>
    <xf numFmtId="165" fontId="3" fillId="4" borderId="4" xfId="0" applyNumberFormat="1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10" fontId="3" fillId="4" borderId="19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/>
    </xf>
    <xf numFmtId="165" fontId="3" fillId="5" borderId="19" xfId="0" applyNumberFormat="1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10" fontId="3" fillId="5" borderId="1" xfId="1" applyNumberFormat="1" applyFont="1" applyFill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64" fontId="5" fillId="5" borderId="20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0" fontId="3" fillId="0" borderId="6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10" fontId="3" fillId="5" borderId="3" xfId="1" applyNumberFormat="1" applyFont="1" applyFill="1" applyBorder="1" applyAlignment="1">
      <alignment horizontal="center" vertical="center"/>
    </xf>
    <xf numFmtId="10" fontId="3" fillId="5" borderId="4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0" fontId="3" fillId="0" borderId="2" xfId="1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0" fontId="3" fillId="0" borderId="3" xfId="1" applyNumberFormat="1" applyFont="1" applyBorder="1" applyAlignment="1">
      <alignment horizontal="center" vertical="center"/>
    </xf>
    <xf numFmtId="10" fontId="3" fillId="0" borderId="4" xfId="1" applyNumberFormat="1" applyFont="1" applyBorder="1" applyAlignment="1">
      <alignment horizontal="center" vertical="center"/>
    </xf>
    <xf numFmtId="10" fontId="0" fillId="5" borderId="2" xfId="0" applyNumberFormat="1" applyFill="1" applyBorder="1" applyAlignment="1">
      <alignment horizontal="center" vertical="center"/>
    </xf>
    <xf numFmtId="10" fontId="0" fillId="5" borderId="4" xfId="0" applyNumberForma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10" fontId="3" fillId="4" borderId="2" xfId="0" applyNumberFormat="1" applyFont="1" applyFill="1" applyBorder="1" applyAlignment="1">
      <alignment horizontal="center" vertical="center"/>
    </xf>
    <xf numFmtId="10" fontId="3" fillId="4" borderId="3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 vertical="top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87312</xdr:colOff>
      <xdr:row>219</xdr:row>
      <xdr:rowOff>12062</xdr:rowOff>
    </xdr:from>
    <xdr:to>
      <xdr:col>2</xdr:col>
      <xdr:colOff>409575</xdr:colOff>
      <xdr:row>222</xdr:row>
      <xdr:rowOff>121774</xdr:rowOff>
    </xdr:to>
    <xdr:sp macro="" textlink="">
      <xdr:nvSpPr>
        <xdr:cNvPr id="2" name="Cuadro de texto 2">
          <a:extLst>
            <a:ext uri="{FF2B5EF4-FFF2-40B4-BE49-F238E27FC236}">
              <a16:creationId xmlns:a16="http://schemas.microsoft.com/office/drawing/2014/main" id="{324CFD45-DA15-47ED-AD66-773E6DBF5716}"/>
            </a:ext>
          </a:extLst>
        </xdr:cNvPr>
        <xdr:cNvSpPr txBox="1">
          <a:spLocks noChangeArrowheads="1"/>
        </xdr:cNvSpPr>
      </xdr:nvSpPr>
      <xdr:spPr bwMode="auto">
        <a:xfrm>
          <a:off x="87312" y="42271312"/>
          <a:ext cx="1888596" cy="68121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algn="ctr"/>
          <a:r>
            <a:rPr lang="es-PE" sz="8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_________________________________</a:t>
          </a:r>
          <a:endParaRPr lang="es-419" sz="105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/>
          <a:r>
            <a:rPr lang="es-MX" sz="80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C.P.C. RAYNER</a:t>
          </a:r>
          <a:r>
            <a:rPr lang="es-MX" sz="800" baseline="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 JHON RAMOS PARI</a:t>
          </a:r>
          <a:endParaRPr lang="es-419" sz="105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  <a:p>
          <a:pPr algn="ctr"/>
          <a:r>
            <a:rPr lang="es-PE" sz="80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PRESIDENTE DE GESTIÓN DE RECURSOS</a:t>
          </a:r>
          <a:endParaRPr lang="es-419" sz="105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  <a:p>
          <a:pPr algn="ctr"/>
          <a:r>
            <a:rPr lang="es-PE" sz="80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Y ACTIVIDADES PRODUCTIVAS Y EMPRESARIALES</a:t>
          </a:r>
          <a:endParaRPr lang="es-419" sz="105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619125</xdr:colOff>
      <xdr:row>219</xdr:row>
      <xdr:rowOff>28260</xdr:rowOff>
    </xdr:from>
    <xdr:to>
      <xdr:col>2</xdr:col>
      <xdr:colOff>2657475</xdr:colOff>
      <xdr:row>223</xdr:row>
      <xdr:rowOff>64940</xdr:rowOff>
    </xdr:to>
    <xdr:sp macro="" textlink="">
      <xdr:nvSpPr>
        <xdr:cNvPr id="3" name="Cuadro de texto 2">
          <a:extLst>
            <a:ext uri="{FF2B5EF4-FFF2-40B4-BE49-F238E27FC236}">
              <a16:creationId xmlns:a16="http://schemas.microsoft.com/office/drawing/2014/main" id="{AE643F36-C8E8-4D9D-B9B9-1E5BCC937712}"/>
            </a:ext>
          </a:extLst>
        </xdr:cNvPr>
        <xdr:cNvSpPr txBox="1">
          <a:spLocks noChangeArrowheads="1"/>
        </xdr:cNvSpPr>
      </xdr:nvSpPr>
      <xdr:spPr bwMode="auto">
        <a:xfrm>
          <a:off x="2185458" y="42287510"/>
          <a:ext cx="2038350" cy="79868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algn="ctr"/>
          <a:r>
            <a:rPr lang="es-PE" sz="80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_______________________________________</a:t>
          </a:r>
          <a:endParaRPr lang="es-419" sz="105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  <a:p>
          <a:pPr algn="ctr"/>
          <a:r>
            <a:rPr lang="es-MX" sz="80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CPC. RENE W. CASTILLO AROCUTIPA</a:t>
          </a:r>
          <a:endParaRPr lang="es-419" sz="105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  <a:p>
          <a:pPr algn="ctr"/>
          <a:r>
            <a:rPr lang="es-PE" sz="80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MIEMBRO DEL COMITÉ DE GESTIÓN DE RECURSOS</a:t>
          </a:r>
          <a:endParaRPr lang="es-419" sz="105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  <a:p>
          <a:pPr algn="ctr"/>
          <a:r>
            <a:rPr lang="es-PE" sz="80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Y ACTIVIDADES PRODUCTIVAS Y EMPRESARIALES</a:t>
          </a:r>
          <a:endParaRPr lang="es-419" sz="105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2890834</xdr:colOff>
      <xdr:row>219</xdr:row>
      <xdr:rowOff>42227</xdr:rowOff>
    </xdr:from>
    <xdr:to>
      <xdr:col>4</xdr:col>
      <xdr:colOff>485774</xdr:colOff>
      <xdr:row>223</xdr:row>
      <xdr:rowOff>79164</xdr:rowOff>
    </xdr:to>
    <xdr:sp macro="" textlink="">
      <xdr:nvSpPr>
        <xdr:cNvPr id="4" name="Cuadro de texto 2">
          <a:extLst>
            <a:ext uri="{FF2B5EF4-FFF2-40B4-BE49-F238E27FC236}">
              <a16:creationId xmlns:a16="http://schemas.microsoft.com/office/drawing/2014/main" id="{AD71CBE4-83A2-4438-B8CC-A03881AF1B92}"/>
            </a:ext>
          </a:extLst>
        </xdr:cNvPr>
        <xdr:cNvSpPr txBox="1">
          <a:spLocks noChangeArrowheads="1"/>
        </xdr:cNvSpPr>
      </xdr:nvSpPr>
      <xdr:spPr bwMode="auto">
        <a:xfrm>
          <a:off x="4452934" y="37646927"/>
          <a:ext cx="1966915" cy="7989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algn="ctr"/>
          <a:r>
            <a:rPr lang="es-PE" sz="8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__________________________________</a:t>
          </a:r>
          <a:endParaRPr lang="es-419" sz="105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/>
          <a:r>
            <a:rPr lang="es-MX" sz="80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ING. </a:t>
          </a:r>
          <a:r>
            <a:rPr lang="es-ES" sz="80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SAMUEL FLORES LOPEZ</a:t>
          </a:r>
          <a:endParaRPr lang="es-419" sz="105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  <a:p>
          <a:pPr algn="ctr"/>
          <a:r>
            <a:rPr lang="es-PE" sz="80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MIEMBRO DEL COMITÉ DE GESTIÓN DE RECURSOS</a:t>
          </a:r>
          <a:endParaRPr lang="es-419" sz="105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  <a:p>
          <a:pPr algn="ctr"/>
          <a:r>
            <a:rPr lang="es-PE" sz="80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Y ACTIVIDADES PRODUCTIVAS Y EMPRESARIALES</a:t>
          </a:r>
          <a:endParaRPr lang="es-419" sz="105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1905</xdr:colOff>
      <xdr:row>219</xdr:row>
      <xdr:rowOff>48260</xdr:rowOff>
    </xdr:from>
    <xdr:to>
      <xdr:col>6</xdr:col>
      <xdr:colOff>1019175</xdr:colOff>
      <xdr:row>223</xdr:row>
      <xdr:rowOff>84940</xdr:rowOff>
    </xdr:to>
    <xdr:sp macro="" textlink="">
      <xdr:nvSpPr>
        <xdr:cNvPr id="5" name="Cuadro de texto 2">
          <a:extLst>
            <a:ext uri="{FF2B5EF4-FFF2-40B4-BE49-F238E27FC236}">
              <a16:creationId xmlns:a16="http://schemas.microsoft.com/office/drawing/2014/main" id="{B77F6D35-BF5E-4E35-9366-1B731E912AC7}"/>
            </a:ext>
          </a:extLst>
        </xdr:cNvPr>
        <xdr:cNvSpPr txBox="1">
          <a:spLocks noChangeArrowheads="1"/>
        </xdr:cNvSpPr>
      </xdr:nvSpPr>
      <xdr:spPr bwMode="auto">
        <a:xfrm>
          <a:off x="6517005" y="40920035"/>
          <a:ext cx="1798320" cy="79868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algn="ctr"/>
          <a:r>
            <a:rPr lang="es-PE" sz="80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__________________________________</a:t>
          </a:r>
          <a:endParaRPr lang="es-419" sz="105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  <a:p>
          <a:pPr algn="ctr"/>
          <a:r>
            <a:rPr lang="es-ES" sz="80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ING. YERSON PARIAPAZA LARICO</a:t>
          </a:r>
          <a:endParaRPr lang="es-419" sz="105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  <a:p>
          <a:pPr algn="ctr"/>
          <a:r>
            <a:rPr lang="es-PE" sz="80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MIEMBRO DEL COMITÉ DE GESTIÓN DE RECURSOS</a:t>
          </a:r>
          <a:endParaRPr lang="es-419" sz="105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  <a:p>
          <a:pPr algn="ctr"/>
          <a:r>
            <a:rPr lang="es-PE" sz="80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Y ACTIVIDADES PRODUCTIVAS Y EMPRESARIALES</a:t>
          </a:r>
          <a:endParaRPr lang="es-419" sz="105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85089</xdr:colOff>
      <xdr:row>219</xdr:row>
      <xdr:rowOff>17780</xdr:rowOff>
    </xdr:from>
    <xdr:to>
      <xdr:col>8</xdr:col>
      <xdr:colOff>847725</xdr:colOff>
      <xdr:row>223</xdr:row>
      <xdr:rowOff>54717</xdr:rowOff>
    </xdr:to>
    <xdr:sp macro="" textlink="">
      <xdr:nvSpPr>
        <xdr:cNvPr id="6" name="Cuadro de texto 2">
          <a:extLst>
            <a:ext uri="{FF2B5EF4-FFF2-40B4-BE49-F238E27FC236}">
              <a16:creationId xmlns:a16="http://schemas.microsoft.com/office/drawing/2014/main" id="{F3F9B7AB-5991-4C50-989B-164220B4DE3C}"/>
            </a:ext>
          </a:extLst>
        </xdr:cNvPr>
        <xdr:cNvSpPr txBox="1">
          <a:spLocks noChangeArrowheads="1"/>
        </xdr:cNvSpPr>
      </xdr:nvSpPr>
      <xdr:spPr bwMode="auto">
        <a:xfrm>
          <a:off x="8424756" y="42277030"/>
          <a:ext cx="1746886" cy="7989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algn="ctr"/>
          <a:r>
            <a:rPr lang="es-PE" sz="8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______________________________</a:t>
          </a:r>
          <a:endParaRPr lang="es-419" sz="105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/>
          <a:r>
            <a:rPr lang="es-MX" sz="80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TÉC. </a:t>
          </a:r>
          <a:r>
            <a:rPr lang="es-ES" sz="80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FLORO E. VENTURA CACERES</a:t>
          </a:r>
          <a:endParaRPr lang="es-419" sz="105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  <a:p>
          <a:pPr algn="ctr"/>
          <a:r>
            <a:rPr lang="es-PE" sz="80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DEL COMITÉ DE GESTIÓN DE RECURSOS</a:t>
          </a:r>
          <a:endParaRPr lang="es-419" sz="105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  <a:p>
          <a:pPr algn="ctr"/>
          <a:r>
            <a:rPr lang="es-PE" sz="800">
              <a:effectLst/>
              <a:latin typeface="Arial Narrow" panose="020B0606020202030204" pitchFamily="34" charset="0"/>
              <a:ea typeface="Times New Roman" panose="02020603050405020304" pitchFamily="18" charset="0"/>
            </a:rPr>
            <a:t>Y ACTIVIDADES PRODUCTIVAS Y EMPRESARIALES</a:t>
          </a:r>
          <a:endParaRPr lang="es-419" sz="1050">
            <a:effectLst/>
            <a:latin typeface="Arial Narrow" panose="020B0606020202030204" pitchFamily="34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0</xdr:row>
      <xdr:rowOff>114300</xdr:rowOff>
    </xdr:from>
    <xdr:to>
      <xdr:col>2</xdr:col>
      <xdr:colOff>170627</xdr:colOff>
      <xdr:row>3</xdr:row>
      <xdr:rowOff>127001</xdr:rowOff>
    </xdr:to>
    <xdr:pic>
      <xdr:nvPicPr>
        <xdr:cNvPr id="8" name="image2.jpg">
          <a:extLst>
            <a:ext uri="{FF2B5EF4-FFF2-40B4-BE49-F238E27FC236}">
              <a16:creationId xmlns:a16="http://schemas.microsoft.com/office/drawing/2014/main" id="{E711AF4C-513C-4B3F-99BE-975746488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"/>
          <a:ext cx="1736960" cy="7535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12065</xdr:rowOff>
    </xdr:from>
    <xdr:to>
      <xdr:col>2</xdr:col>
      <xdr:colOff>66675</xdr:colOff>
      <xdr:row>19</xdr:row>
      <xdr:rowOff>152298</xdr:rowOff>
    </xdr:to>
    <xdr:sp macro="" textlink="">
      <xdr:nvSpPr>
        <xdr:cNvPr id="2" name="Cuadro de texto 2">
          <a:extLst>
            <a:ext uri="{FF2B5EF4-FFF2-40B4-BE49-F238E27FC236}">
              <a16:creationId xmlns:a16="http://schemas.microsoft.com/office/drawing/2014/main" id="{E6E06C4D-7943-4CEF-8782-FB779C45380B}"/>
            </a:ext>
          </a:extLst>
        </xdr:cNvPr>
        <xdr:cNvSpPr txBox="1">
          <a:spLocks noChangeArrowheads="1"/>
        </xdr:cNvSpPr>
      </xdr:nvSpPr>
      <xdr:spPr bwMode="auto">
        <a:xfrm>
          <a:off x="0" y="3983990"/>
          <a:ext cx="1628775" cy="71173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algn="ctr"/>
          <a:r>
            <a:rPr lang="es-PE" sz="7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________________________________</a:t>
          </a:r>
          <a:endParaRPr lang="es-419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/>
          <a:r>
            <a:rPr lang="es-PE" sz="7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DIRECTOR</a:t>
          </a:r>
          <a:endParaRPr lang="es-419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/>
          <a:r>
            <a:rPr lang="es-PE" sz="7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PRESIDENTE DE GESTIÓN DE RECURSOS</a:t>
          </a:r>
          <a:endParaRPr lang="es-419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/>
          <a:r>
            <a:rPr lang="es-PE" sz="7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Y ACTIVIDADES PRODUCTIVAS Y EMPRESARIALES</a:t>
          </a:r>
          <a:endParaRPr lang="es-419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149225</xdr:colOff>
      <xdr:row>16</xdr:row>
      <xdr:rowOff>13970</xdr:rowOff>
    </xdr:from>
    <xdr:to>
      <xdr:col>2</xdr:col>
      <xdr:colOff>2187575</xdr:colOff>
      <xdr:row>19</xdr:row>
      <xdr:rowOff>154203</xdr:rowOff>
    </xdr:to>
    <xdr:sp macro="" textlink="">
      <xdr:nvSpPr>
        <xdr:cNvPr id="3" name="Cuadro de texto 2">
          <a:extLst>
            <a:ext uri="{FF2B5EF4-FFF2-40B4-BE49-F238E27FC236}">
              <a16:creationId xmlns:a16="http://schemas.microsoft.com/office/drawing/2014/main" id="{62659F68-6ED2-4547-B460-7FBA09AA90BD}"/>
            </a:ext>
          </a:extLst>
        </xdr:cNvPr>
        <xdr:cNvSpPr txBox="1">
          <a:spLocks noChangeArrowheads="1"/>
        </xdr:cNvSpPr>
      </xdr:nvSpPr>
      <xdr:spPr bwMode="auto">
        <a:xfrm>
          <a:off x="1711325" y="3985895"/>
          <a:ext cx="2038350" cy="71173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algn="ctr"/>
          <a:r>
            <a:rPr lang="es-PE" sz="7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_________________________________________</a:t>
          </a:r>
          <a:endParaRPr lang="es-419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/>
          <a:r>
            <a:rPr lang="es-PE" sz="7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JEFE DE UNIDAD ADMINISTRATIVA</a:t>
          </a:r>
          <a:endParaRPr lang="es-419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/>
          <a:r>
            <a:rPr lang="es-PE" sz="7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MIEMBRO DEL COMITÉ DE GESTIÓN DE RECURSOS</a:t>
          </a:r>
          <a:endParaRPr lang="es-419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/>
          <a:r>
            <a:rPr lang="es-PE" sz="7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Y ACTIVIDADES PRODUCTIVAS Y EMPRESARIALES</a:t>
          </a:r>
          <a:endParaRPr lang="es-419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2571750</xdr:colOff>
      <xdr:row>16</xdr:row>
      <xdr:rowOff>12065</xdr:rowOff>
    </xdr:from>
    <xdr:to>
      <xdr:col>4</xdr:col>
      <xdr:colOff>533400</xdr:colOff>
      <xdr:row>19</xdr:row>
      <xdr:rowOff>152298</xdr:rowOff>
    </xdr:to>
    <xdr:sp macro="" textlink="">
      <xdr:nvSpPr>
        <xdr:cNvPr id="4" name="Cuadro de texto 2">
          <a:extLst>
            <a:ext uri="{FF2B5EF4-FFF2-40B4-BE49-F238E27FC236}">
              <a16:creationId xmlns:a16="http://schemas.microsoft.com/office/drawing/2014/main" id="{ADDBF079-EB3E-4A6C-B8F5-A9D4296B0B68}"/>
            </a:ext>
          </a:extLst>
        </xdr:cNvPr>
        <xdr:cNvSpPr txBox="1">
          <a:spLocks noChangeArrowheads="1"/>
        </xdr:cNvSpPr>
      </xdr:nvSpPr>
      <xdr:spPr bwMode="auto">
        <a:xfrm>
          <a:off x="4133850" y="3983990"/>
          <a:ext cx="2333625" cy="71173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algn="ctr"/>
          <a:r>
            <a:rPr lang="es-PE" sz="7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_________________________________________________</a:t>
          </a:r>
          <a:endParaRPr lang="es-419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/>
          <a:r>
            <a:rPr lang="es-PE" sz="7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JEFE DE CALIDAD</a:t>
          </a:r>
          <a:endParaRPr lang="es-419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/>
          <a:r>
            <a:rPr lang="es-PE" sz="7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MIEMBRO DEL COMITÉ DE GESTIÓN DE RECURSOS</a:t>
          </a:r>
          <a:endParaRPr lang="es-419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/>
          <a:r>
            <a:rPr lang="es-PE" sz="7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Y ACTIVIDADES PRODUCTIVAS Y EMPRESARIALES</a:t>
          </a:r>
          <a:endParaRPr lang="es-419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11430</xdr:colOff>
      <xdr:row>16</xdr:row>
      <xdr:rowOff>3810</xdr:rowOff>
    </xdr:from>
    <xdr:to>
      <xdr:col>6</xdr:col>
      <xdr:colOff>1082040</xdr:colOff>
      <xdr:row>19</xdr:row>
      <xdr:rowOff>144043</xdr:rowOff>
    </xdr:to>
    <xdr:sp macro="" textlink="">
      <xdr:nvSpPr>
        <xdr:cNvPr id="5" name="Cuadro de texto 2">
          <a:extLst>
            <a:ext uri="{FF2B5EF4-FFF2-40B4-BE49-F238E27FC236}">
              <a16:creationId xmlns:a16="http://schemas.microsoft.com/office/drawing/2014/main" id="{D973973A-3D68-4CDA-9C44-DFCB7C7CAB73}"/>
            </a:ext>
          </a:extLst>
        </xdr:cNvPr>
        <xdr:cNvSpPr txBox="1">
          <a:spLocks noChangeArrowheads="1"/>
        </xdr:cNvSpPr>
      </xdr:nvSpPr>
      <xdr:spPr bwMode="auto">
        <a:xfrm>
          <a:off x="6707505" y="3975735"/>
          <a:ext cx="1899285" cy="71173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algn="ctr"/>
          <a:r>
            <a:rPr lang="es-PE" sz="7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______________________________________</a:t>
          </a:r>
          <a:endParaRPr lang="es-419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/>
          <a:r>
            <a:rPr lang="es-PE" sz="7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REPRESENTANTE DE DOCENTES</a:t>
          </a:r>
          <a:endParaRPr lang="es-419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/>
          <a:r>
            <a:rPr lang="es-PE" sz="7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MIEMBRO DEL COMITÉ DE GESTIÓN DE RECURSOS</a:t>
          </a:r>
          <a:endParaRPr lang="es-419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/>
          <a:r>
            <a:rPr lang="es-PE" sz="7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Y ACTIVIDADES PRODUCTIVAS Y EMPRESARIALES</a:t>
          </a:r>
          <a:endParaRPr lang="es-419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53340</xdr:colOff>
      <xdr:row>16</xdr:row>
      <xdr:rowOff>1905</xdr:rowOff>
    </xdr:from>
    <xdr:to>
      <xdr:col>8</xdr:col>
      <xdr:colOff>975360</xdr:colOff>
      <xdr:row>19</xdr:row>
      <xdr:rowOff>38905</xdr:rowOff>
    </xdr:to>
    <xdr:sp macro="" textlink="">
      <xdr:nvSpPr>
        <xdr:cNvPr id="6" name="Cuadro de texto 2">
          <a:extLst>
            <a:ext uri="{FF2B5EF4-FFF2-40B4-BE49-F238E27FC236}">
              <a16:creationId xmlns:a16="http://schemas.microsoft.com/office/drawing/2014/main" id="{033C9F98-6B7C-4C54-A96F-A7DD8E6F2C1B}"/>
            </a:ext>
          </a:extLst>
        </xdr:cNvPr>
        <xdr:cNvSpPr txBox="1">
          <a:spLocks noChangeArrowheads="1"/>
        </xdr:cNvSpPr>
      </xdr:nvSpPr>
      <xdr:spPr bwMode="auto">
        <a:xfrm>
          <a:off x="8663940" y="3973830"/>
          <a:ext cx="1969770" cy="608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algn="ctr"/>
          <a:r>
            <a:rPr lang="es-PE" sz="7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________________________________________</a:t>
          </a:r>
          <a:endParaRPr lang="es-419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/>
          <a:r>
            <a:rPr lang="es-PE" sz="7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REPRESENTANTE DE ADMINISTRATIVOS</a:t>
          </a:r>
          <a:endParaRPr lang="es-419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/>
          <a:r>
            <a:rPr lang="es-PE" sz="7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DEL COMITÉ DE GESTIÓN DE RECURSOS</a:t>
          </a:r>
          <a:endParaRPr lang="es-419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/>
          <a:r>
            <a:rPr lang="es-PE" sz="7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Y ACTIVIDADES PRODUCTIVAS Y EMPRESARIALES</a:t>
          </a:r>
          <a:endParaRPr lang="es-419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2236-F28D-47EE-8539-D9D57A9E542A}">
  <dimension ref="A1:I219"/>
  <sheetViews>
    <sheetView tabSelected="1" view="pageBreakPreview" topLeftCell="A194" zoomScale="90" zoomScaleNormal="100" zoomScaleSheetLayoutView="90" workbookViewId="0">
      <selection activeCell="E212" sqref="E212:E213"/>
    </sheetView>
  </sheetViews>
  <sheetFormatPr baseColWidth="10" defaultRowHeight="15" x14ac:dyDescent="0.25"/>
  <cols>
    <col min="1" max="1" width="3.140625" customWidth="1"/>
    <col min="2" max="2" width="22.28515625" customWidth="1"/>
    <col min="3" max="3" width="57.28515625" style="2" customWidth="1"/>
    <col min="4" max="4" width="8.85546875" customWidth="1"/>
    <col min="5" max="5" width="9.85546875" style="1" customWidth="1"/>
    <col min="6" max="6" width="11.7109375" customWidth="1"/>
    <col min="7" max="8" width="15.5703125" customWidth="1"/>
    <col min="9" max="9" width="16.85546875" customWidth="1"/>
  </cols>
  <sheetData>
    <row r="1" spans="1:9" ht="17.25" customHeight="1" x14ac:dyDescent="0.25">
      <c r="A1" s="220" t="s">
        <v>193</v>
      </c>
      <c r="B1" s="220"/>
      <c r="C1" s="220"/>
      <c r="D1" s="220"/>
      <c r="E1" s="220"/>
      <c r="F1" s="220"/>
      <c r="G1" s="220"/>
      <c r="H1" s="220"/>
      <c r="I1" s="220"/>
    </row>
    <row r="2" spans="1:9" ht="17.25" customHeight="1" x14ac:dyDescent="0.25">
      <c r="A2" s="221" t="s">
        <v>166</v>
      </c>
      <c r="B2" s="221"/>
      <c r="C2" s="221"/>
      <c r="D2" s="221"/>
      <c r="E2" s="221"/>
      <c r="F2" s="221"/>
      <c r="G2" s="221"/>
      <c r="H2" s="221"/>
      <c r="I2" s="221"/>
    </row>
    <row r="3" spans="1:9" ht="23.25" customHeight="1" x14ac:dyDescent="0.25">
      <c r="A3" s="221" t="s">
        <v>37</v>
      </c>
      <c r="B3" s="221"/>
      <c r="C3" s="221"/>
      <c r="D3" s="221"/>
      <c r="E3" s="221"/>
      <c r="F3" s="221"/>
      <c r="G3" s="221"/>
      <c r="H3" s="221"/>
      <c r="I3" s="221"/>
    </row>
    <row r="4" spans="1:9" ht="21.75" customHeight="1" x14ac:dyDescent="0.25">
      <c r="A4" s="222" t="s">
        <v>194</v>
      </c>
      <c r="B4" s="222"/>
      <c r="C4" s="222"/>
      <c r="D4" s="222"/>
      <c r="E4" s="222"/>
      <c r="F4" s="222"/>
      <c r="G4" s="222"/>
      <c r="H4" s="222"/>
      <c r="I4" s="222"/>
    </row>
    <row r="5" spans="1:9" ht="27.6" customHeight="1" x14ac:dyDescent="0.25">
      <c r="A5" s="223" t="s">
        <v>7</v>
      </c>
      <c r="B5" s="224" t="s">
        <v>38</v>
      </c>
      <c r="C5" s="15" t="s">
        <v>0</v>
      </c>
      <c r="D5" s="224" t="s">
        <v>29</v>
      </c>
      <c r="E5" s="224"/>
      <c r="F5" s="15" t="s">
        <v>2</v>
      </c>
      <c r="G5" s="224" t="s">
        <v>4</v>
      </c>
      <c r="H5" s="224" t="s">
        <v>8</v>
      </c>
      <c r="I5" s="224" t="s">
        <v>3</v>
      </c>
    </row>
    <row r="6" spans="1:9" x14ac:dyDescent="0.25">
      <c r="A6" s="223"/>
      <c r="B6" s="224"/>
      <c r="C6" s="15" t="s">
        <v>39</v>
      </c>
      <c r="D6" s="14" t="s">
        <v>1</v>
      </c>
      <c r="E6" s="16" t="s">
        <v>40</v>
      </c>
      <c r="F6" s="14" t="s">
        <v>41</v>
      </c>
      <c r="G6" s="224"/>
      <c r="H6" s="224"/>
      <c r="I6" s="224"/>
    </row>
    <row r="7" spans="1:9" ht="6.75" customHeight="1" thickBot="1" x14ac:dyDescent="0.3">
      <c r="A7" s="38"/>
      <c r="B7" s="39"/>
      <c r="C7" s="39"/>
      <c r="D7" s="40"/>
      <c r="E7" s="41"/>
      <c r="F7" s="40"/>
      <c r="G7" s="39"/>
      <c r="H7" s="42">
        <v>5350</v>
      </c>
      <c r="I7" s="43"/>
    </row>
    <row r="8" spans="1:9" ht="15.75" thickBot="1" x14ac:dyDescent="0.3">
      <c r="A8" s="146" t="s">
        <v>9</v>
      </c>
      <c r="B8" s="147"/>
      <c r="C8" s="147"/>
      <c r="D8" s="147"/>
      <c r="E8" s="147"/>
      <c r="F8" s="147"/>
      <c r="G8" s="147"/>
      <c r="H8" s="147"/>
      <c r="I8" s="148"/>
    </row>
    <row r="9" spans="1:9" x14ac:dyDescent="0.25">
      <c r="A9" s="142">
        <v>1</v>
      </c>
      <c r="B9" s="137" t="s">
        <v>75</v>
      </c>
      <c r="C9" s="76" t="s">
        <v>42</v>
      </c>
      <c r="D9" s="141">
        <f>E9/H7</f>
        <v>9.3457943925233638E-3</v>
      </c>
      <c r="E9" s="153">
        <v>50</v>
      </c>
      <c r="F9" s="137" t="s">
        <v>48</v>
      </c>
      <c r="G9" s="137" t="s">
        <v>47</v>
      </c>
      <c r="H9" s="137" t="s">
        <v>175</v>
      </c>
      <c r="I9" s="136" t="s">
        <v>175</v>
      </c>
    </row>
    <row r="10" spans="1:9" x14ac:dyDescent="0.25">
      <c r="A10" s="178"/>
      <c r="B10" s="171"/>
      <c r="C10" s="83" t="s">
        <v>72</v>
      </c>
      <c r="D10" s="179"/>
      <c r="E10" s="180"/>
      <c r="F10" s="171"/>
      <c r="G10" s="171"/>
      <c r="H10" s="171"/>
      <c r="I10" s="182"/>
    </row>
    <row r="11" spans="1:9" x14ac:dyDescent="0.25">
      <c r="A11" s="178"/>
      <c r="B11" s="171"/>
      <c r="C11" s="83" t="s">
        <v>43</v>
      </c>
      <c r="D11" s="179"/>
      <c r="E11" s="180"/>
      <c r="F11" s="171"/>
      <c r="G11" s="171"/>
      <c r="H11" s="171"/>
      <c r="I11" s="182"/>
    </row>
    <row r="12" spans="1:9" x14ac:dyDescent="0.25">
      <c r="A12" s="178"/>
      <c r="B12" s="171"/>
      <c r="C12" s="83" t="s">
        <v>44</v>
      </c>
      <c r="D12" s="179"/>
      <c r="E12" s="180"/>
      <c r="F12" s="171"/>
      <c r="G12" s="171"/>
      <c r="H12" s="171"/>
      <c r="I12" s="182"/>
    </row>
    <row r="13" spans="1:9" ht="15" customHeight="1" x14ac:dyDescent="0.25">
      <c r="A13" s="178"/>
      <c r="B13" s="171"/>
      <c r="C13" s="83" t="s">
        <v>45</v>
      </c>
      <c r="D13" s="179"/>
      <c r="E13" s="180"/>
      <c r="F13" s="171"/>
      <c r="G13" s="171"/>
      <c r="H13" s="171"/>
      <c r="I13" s="182"/>
    </row>
    <row r="14" spans="1:9" x14ac:dyDescent="0.25">
      <c r="A14" s="178"/>
      <c r="B14" s="171"/>
      <c r="C14" s="83" t="s">
        <v>46</v>
      </c>
      <c r="D14" s="179"/>
      <c r="E14" s="180"/>
      <c r="F14" s="171"/>
      <c r="G14" s="171"/>
      <c r="H14" s="171"/>
      <c r="I14" s="182"/>
    </row>
    <row r="15" spans="1:9" ht="16.5" customHeight="1" x14ac:dyDescent="0.25">
      <c r="A15" s="178"/>
      <c r="B15" s="171"/>
      <c r="C15" s="83" t="s">
        <v>76</v>
      </c>
      <c r="D15" s="179"/>
      <c r="E15" s="180"/>
      <c r="F15" s="171"/>
      <c r="G15" s="171"/>
      <c r="H15" s="171"/>
      <c r="I15" s="182"/>
    </row>
    <row r="16" spans="1:9" ht="16.5" customHeight="1" x14ac:dyDescent="0.25">
      <c r="A16" s="178"/>
      <c r="B16" s="171"/>
      <c r="C16" s="83" t="s">
        <v>78</v>
      </c>
      <c r="D16" s="179"/>
      <c r="E16" s="180"/>
      <c r="F16" s="171"/>
      <c r="G16" s="171"/>
      <c r="H16" s="171"/>
      <c r="I16" s="182"/>
    </row>
    <row r="17" spans="1:9" x14ac:dyDescent="0.25">
      <c r="A17" s="156">
        <v>2</v>
      </c>
      <c r="B17" s="112" t="s">
        <v>74</v>
      </c>
      <c r="C17" s="29" t="s">
        <v>42</v>
      </c>
      <c r="D17" s="159">
        <f>E17/H7</f>
        <v>9.3457943925233638E-3</v>
      </c>
      <c r="E17" s="218">
        <v>50</v>
      </c>
      <c r="F17" s="112" t="s">
        <v>48</v>
      </c>
      <c r="G17" s="112" t="s">
        <v>47</v>
      </c>
      <c r="H17" s="112" t="s">
        <v>175</v>
      </c>
      <c r="I17" s="164" t="s">
        <v>175</v>
      </c>
    </row>
    <row r="18" spans="1:9" x14ac:dyDescent="0.25">
      <c r="A18" s="156"/>
      <c r="B18" s="112"/>
      <c r="C18" s="29" t="s">
        <v>72</v>
      </c>
      <c r="D18" s="159"/>
      <c r="E18" s="218"/>
      <c r="F18" s="112"/>
      <c r="G18" s="112"/>
      <c r="H18" s="112"/>
      <c r="I18" s="164"/>
    </row>
    <row r="19" spans="1:9" x14ac:dyDescent="0.25">
      <c r="A19" s="156"/>
      <c r="B19" s="112"/>
      <c r="C19" s="29" t="s">
        <v>43</v>
      </c>
      <c r="D19" s="159"/>
      <c r="E19" s="218"/>
      <c r="F19" s="112"/>
      <c r="G19" s="112"/>
      <c r="H19" s="112"/>
      <c r="I19" s="164"/>
    </row>
    <row r="20" spans="1:9" x14ac:dyDescent="0.25">
      <c r="A20" s="156"/>
      <c r="B20" s="112"/>
      <c r="C20" s="29" t="s">
        <v>44</v>
      </c>
      <c r="D20" s="159"/>
      <c r="E20" s="218"/>
      <c r="F20" s="112"/>
      <c r="G20" s="112"/>
      <c r="H20" s="112"/>
      <c r="I20" s="164"/>
    </row>
    <row r="21" spans="1:9" ht="15" customHeight="1" x14ac:dyDescent="0.25">
      <c r="A21" s="156"/>
      <c r="B21" s="112"/>
      <c r="C21" s="29" t="s">
        <v>45</v>
      </c>
      <c r="D21" s="159"/>
      <c r="E21" s="218"/>
      <c r="F21" s="112"/>
      <c r="G21" s="112"/>
      <c r="H21" s="112"/>
      <c r="I21" s="164"/>
    </row>
    <row r="22" spans="1:9" x14ac:dyDescent="0.25">
      <c r="A22" s="156"/>
      <c r="B22" s="112"/>
      <c r="C22" s="29" t="s">
        <v>46</v>
      </c>
      <c r="D22" s="159"/>
      <c r="E22" s="218"/>
      <c r="F22" s="112"/>
      <c r="G22" s="112"/>
      <c r="H22" s="112"/>
      <c r="I22" s="164"/>
    </row>
    <row r="23" spans="1:9" ht="22.5" x14ac:dyDescent="0.25">
      <c r="A23" s="156"/>
      <c r="B23" s="112"/>
      <c r="C23" s="29" t="s">
        <v>79</v>
      </c>
      <c r="D23" s="159"/>
      <c r="E23" s="218"/>
      <c r="F23" s="112"/>
      <c r="G23" s="112"/>
      <c r="H23" s="112"/>
      <c r="I23" s="164"/>
    </row>
    <row r="24" spans="1:9" ht="16.5" customHeight="1" x14ac:dyDescent="0.25">
      <c r="A24" s="156"/>
      <c r="B24" s="112"/>
      <c r="C24" s="29" t="s">
        <v>76</v>
      </c>
      <c r="D24" s="159"/>
      <c r="E24" s="218"/>
      <c r="F24" s="112"/>
      <c r="G24" s="112"/>
      <c r="H24" s="112"/>
      <c r="I24" s="164"/>
    </row>
    <row r="25" spans="1:9" ht="22.5" customHeight="1" thickBot="1" x14ac:dyDescent="0.3">
      <c r="A25" s="157"/>
      <c r="B25" s="158"/>
      <c r="C25" s="45" t="s">
        <v>77</v>
      </c>
      <c r="D25" s="160"/>
      <c r="E25" s="219"/>
      <c r="F25" s="158"/>
      <c r="G25" s="158"/>
      <c r="H25" s="158"/>
      <c r="I25" s="165"/>
    </row>
    <row r="26" spans="1:9" ht="15.75" thickBot="1" x14ac:dyDescent="0.3">
      <c r="A26" s="146" t="s">
        <v>12</v>
      </c>
      <c r="B26" s="147"/>
      <c r="C26" s="147"/>
      <c r="D26" s="147"/>
      <c r="E26" s="147"/>
      <c r="F26" s="147"/>
      <c r="G26" s="147"/>
      <c r="H26" s="147"/>
      <c r="I26" s="148"/>
    </row>
    <row r="27" spans="1:9" ht="27.75" customHeight="1" x14ac:dyDescent="0.25">
      <c r="A27" s="74">
        <v>3</v>
      </c>
      <c r="B27" s="75" t="s">
        <v>49</v>
      </c>
      <c r="C27" s="76" t="s">
        <v>50</v>
      </c>
      <c r="D27" s="77">
        <f>E27/H7</f>
        <v>1.1214953271028037E-2</v>
      </c>
      <c r="E27" s="78">
        <v>60</v>
      </c>
      <c r="F27" s="79">
        <v>1</v>
      </c>
      <c r="G27" s="75" t="s">
        <v>54</v>
      </c>
      <c r="H27" s="75" t="s">
        <v>10</v>
      </c>
      <c r="I27" s="80" t="s">
        <v>14</v>
      </c>
    </row>
    <row r="28" spans="1:9" ht="36.75" customHeight="1" x14ac:dyDescent="0.25">
      <c r="A28" s="62">
        <v>4</v>
      </c>
      <c r="B28" s="53" t="s">
        <v>51</v>
      </c>
      <c r="C28" s="29" t="s">
        <v>50</v>
      </c>
      <c r="D28" s="59">
        <f>E28/H7</f>
        <v>1.1214953271028037E-2</v>
      </c>
      <c r="E28" s="65">
        <v>60</v>
      </c>
      <c r="F28" s="54">
        <v>1</v>
      </c>
      <c r="G28" s="53" t="s">
        <v>54</v>
      </c>
      <c r="H28" s="53" t="s">
        <v>14</v>
      </c>
      <c r="I28" s="55" t="s">
        <v>14</v>
      </c>
    </row>
    <row r="29" spans="1:9" ht="33.75" x14ac:dyDescent="0.25">
      <c r="A29" s="81">
        <v>5</v>
      </c>
      <c r="B29" s="82" t="s">
        <v>52</v>
      </c>
      <c r="C29" s="83" t="s">
        <v>53</v>
      </c>
      <c r="D29" s="84">
        <f>E29/H7</f>
        <v>1.4953271028037384E-2</v>
      </c>
      <c r="E29" s="85">
        <v>80</v>
      </c>
      <c r="F29" s="86">
        <v>1</v>
      </c>
      <c r="G29" s="87" t="s">
        <v>54</v>
      </c>
      <c r="H29" s="87" t="s">
        <v>14</v>
      </c>
      <c r="I29" s="88" t="s">
        <v>14</v>
      </c>
    </row>
    <row r="30" spans="1:9" x14ac:dyDescent="0.25">
      <c r="A30" s="129">
        <v>6</v>
      </c>
      <c r="B30" s="113" t="s">
        <v>73</v>
      </c>
      <c r="C30" s="25" t="s">
        <v>50</v>
      </c>
      <c r="D30" s="63">
        <f t="shared" ref="D30:D32" si="0">E30/5150</f>
        <v>0</v>
      </c>
      <c r="E30" s="65">
        <v>0</v>
      </c>
      <c r="F30" s="60" t="s">
        <v>84</v>
      </c>
      <c r="G30" s="50" t="s">
        <v>84</v>
      </c>
      <c r="H30" s="50" t="s">
        <v>84</v>
      </c>
      <c r="I30" s="52" t="s">
        <v>84</v>
      </c>
    </row>
    <row r="31" spans="1:9" ht="23.25" customHeight="1" x14ac:dyDescent="0.25">
      <c r="A31" s="216"/>
      <c r="B31" s="214"/>
      <c r="C31" s="27" t="s">
        <v>80</v>
      </c>
      <c r="D31" s="63">
        <f>E31/H7</f>
        <v>5.6074766355140183E-3</v>
      </c>
      <c r="E31" s="19">
        <v>30</v>
      </c>
      <c r="F31" s="60">
        <v>1</v>
      </c>
      <c r="G31" s="53" t="s">
        <v>14</v>
      </c>
      <c r="H31" s="53" t="s">
        <v>14</v>
      </c>
      <c r="I31" s="55" t="s">
        <v>14</v>
      </c>
    </row>
    <row r="32" spans="1:9" ht="23.25" thickBot="1" x14ac:dyDescent="0.3">
      <c r="A32" s="217"/>
      <c r="B32" s="215"/>
      <c r="C32" s="47" t="s">
        <v>81</v>
      </c>
      <c r="D32" s="89">
        <f t="shared" si="0"/>
        <v>8.7378640776699032E-3</v>
      </c>
      <c r="E32" s="90">
        <v>45</v>
      </c>
      <c r="F32" s="61">
        <v>1</v>
      </c>
      <c r="G32" s="58" t="s">
        <v>54</v>
      </c>
      <c r="H32" s="58" t="s">
        <v>14</v>
      </c>
      <c r="I32" s="56" t="s">
        <v>14</v>
      </c>
    </row>
    <row r="33" spans="1:9" x14ac:dyDescent="0.25">
      <c r="A33" s="150">
        <v>7</v>
      </c>
      <c r="B33" s="149" t="s">
        <v>82</v>
      </c>
      <c r="C33" s="70" t="s">
        <v>50</v>
      </c>
      <c r="D33" s="151">
        <f>E33/H7</f>
        <v>8.4112149532710283E-3</v>
      </c>
      <c r="E33" s="152">
        <v>45</v>
      </c>
      <c r="F33" s="154">
        <v>1</v>
      </c>
      <c r="G33" s="149" t="s">
        <v>54</v>
      </c>
      <c r="H33" s="149" t="s">
        <v>14</v>
      </c>
      <c r="I33" s="155" t="s">
        <v>14</v>
      </c>
    </row>
    <row r="34" spans="1:9" ht="22.5" customHeight="1" x14ac:dyDescent="0.25">
      <c r="A34" s="142"/>
      <c r="B34" s="137"/>
      <c r="C34" s="72" t="s">
        <v>83</v>
      </c>
      <c r="D34" s="141"/>
      <c r="E34" s="153"/>
      <c r="F34" s="138"/>
      <c r="G34" s="137"/>
      <c r="H34" s="137"/>
      <c r="I34" s="136"/>
    </row>
    <row r="35" spans="1:9" s="3" customFormat="1" ht="22.5" customHeight="1" x14ac:dyDescent="0.25">
      <c r="A35" s="195">
        <v>8</v>
      </c>
      <c r="B35" s="229" t="s">
        <v>85</v>
      </c>
      <c r="C35" s="31" t="s">
        <v>26</v>
      </c>
      <c r="D35" s="201">
        <f>E35/H7</f>
        <v>1.1214953271028037E-2</v>
      </c>
      <c r="E35" s="204">
        <v>60</v>
      </c>
      <c r="F35" s="207">
        <v>3</v>
      </c>
      <c r="G35" s="225" t="s">
        <v>6</v>
      </c>
      <c r="H35" s="225" t="s">
        <v>90</v>
      </c>
      <c r="I35" s="227" t="s">
        <v>10</v>
      </c>
    </row>
    <row r="36" spans="1:9" s="3" customFormat="1" ht="24" customHeight="1" x14ac:dyDescent="0.25">
      <c r="A36" s="195"/>
      <c r="B36" s="229"/>
      <c r="C36" s="37" t="s">
        <v>55</v>
      </c>
      <c r="D36" s="201"/>
      <c r="E36" s="204"/>
      <c r="F36" s="207"/>
      <c r="G36" s="226"/>
      <c r="H36" s="226"/>
      <c r="I36" s="228"/>
    </row>
    <row r="37" spans="1:9" s="3" customFormat="1" ht="24" customHeight="1" x14ac:dyDescent="0.25">
      <c r="A37" s="253">
        <v>9</v>
      </c>
      <c r="B37" s="251" t="s">
        <v>198</v>
      </c>
      <c r="C37" s="91" t="s">
        <v>26</v>
      </c>
      <c r="D37" s="119">
        <f>E37/H7</f>
        <v>5.6074766355140183E-3</v>
      </c>
      <c r="E37" s="255">
        <v>30</v>
      </c>
      <c r="F37" s="257">
        <v>1</v>
      </c>
      <c r="G37" s="251" t="s">
        <v>6</v>
      </c>
      <c r="H37" s="251" t="s">
        <v>90</v>
      </c>
      <c r="I37" s="259" t="s">
        <v>10</v>
      </c>
    </row>
    <row r="38" spans="1:9" s="3" customFormat="1" ht="24" customHeight="1" thickBot="1" x14ac:dyDescent="0.3">
      <c r="A38" s="254"/>
      <c r="B38" s="252"/>
      <c r="C38" s="92" t="s">
        <v>199</v>
      </c>
      <c r="D38" s="120"/>
      <c r="E38" s="256"/>
      <c r="F38" s="258"/>
      <c r="G38" s="252"/>
      <c r="H38" s="252"/>
      <c r="I38" s="260"/>
    </row>
    <row r="39" spans="1:9" ht="15.75" thickBot="1" x14ac:dyDescent="0.3">
      <c r="A39" s="146" t="s">
        <v>86</v>
      </c>
      <c r="B39" s="147"/>
      <c r="C39" s="147"/>
      <c r="D39" s="147"/>
      <c r="E39" s="147"/>
      <c r="F39" s="147"/>
      <c r="G39" s="147"/>
      <c r="H39" s="147"/>
      <c r="I39" s="148"/>
    </row>
    <row r="40" spans="1:9" s="3" customFormat="1" ht="17.25" customHeight="1" x14ac:dyDescent="0.25">
      <c r="A40" s="194">
        <v>10</v>
      </c>
      <c r="B40" s="197" t="s">
        <v>86</v>
      </c>
      <c r="C40" s="93" t="s">
        <v>26</v>
      </c>
      <c r="D40" s="200">
        <f>E40/H7</f>
        <v>5.6074766355140183E-3</v>
      </c>
      <c r="E40" s="203">
        <v>30</v>
      </c>
      <c r="F40" s="206">
        <v>5</v>
      </c>
      <c r="G40" s="209" t="s">
        <v>6</v>
      </c>
      <c r="H40" s="209" t="s">
        <v>90</v>
      </c>
      <c r="I40" s="211" t="s">
        <v>5</v>
      </c>
    </row>
    <row r="41" spans="1:9" s="3" customFormat="1" ht="15" customHeight="1" x14ac:dyDescent="0.25">
      <c r="A41" s="195"/>
      <c r="B41" s="198"/>
      <c r="C41" s="30" t="s">
        <v>87</v>
      </c>
      <c r="D41" s="201"/>
      <c r="E41" s="204"/>
      <c r="F41" s="207"/>
      <c r="G41" s="209"/>
      <c r="H41" s="209"/>
      <c r="I41" s="211"/>
    </row>
    <row r="42" spans="1:9" s="3" customFormat="1" ht="15" customHeight="1" thickBot="1" x14ac:dyDescent="0.3">
      <c r="A42" s="196"/>
      <c r="B42" s="199"/>
      <c r="C42" s="46" t="s">
        <v>88</v>
      </c>
      <c r="D42" s="202"/>
      <c r="E42" s="205"/>
      <c r="F42" s="208"/>
      <c r="G42" s="210"/>
      <c r="H42" s="210"/>
      <c r="I42" s="212"/>
    </row>
    <row r="43" spans="1:9" ht="15.75" thickBot="1" x14ac:dyDescent="0.3">
      <c r="A43" s="146" t="s">
        <v>30</v>
      </c>
      <c r="B43" s="147"/>
      <c r="C43" s="147"/>
      <c r="D43" s="147"/>
      <c r="E43" s="147"/>
      <c r="F43" s="147"/>
      <c r="G43" s="147"/>
      <c r="H43" s="147"/>
      <c r="I43" s="148"/>
    </row>
    <row r="44" spans="1:9" ht="15" customHeight="1" x14ac:dyDescent="0.25">
      <c r="A44" s="169">
        <v>11</v>
      </c>
      <c r="B44" s="137" t="s">
        <v>62</v>
      </c>
      <c r="C44" s="70" t="s">
        <v>26</v>
      </c>
      <c r="D44" s="141">
        <f>E44/H7</f>
        <v>9.3457943925233638E-3</v>
      </c>
      <c r="E44" s="153">
        <v>50</v>
      </c>
      <c r="F44" s="138">
        <v>5</v>
      </c>
      <c r="G44" s="149" t="s">
        <v>6</v>
      </c>
      <c r="H44" s="149" t="s">
        <v>90</v>
      </c>
      <c r="I44" s="155" t="s">
        <v>11</v>
      </c>
    </row>
    <row r="45" spans="1:9" ht="33.75" x14ac:dyDescent="0.25">
      <c r="A45" s="170"/>
      <c r="B45" s="171"/>
      <c r="C45" s="71" t="s">
        <v>71</v>
      </c>
      <c r="D45" s="179"/>
      <c r="E45" s="180"/>
      <c r="F45" s="181"/>
      <c r="G45" s="149"/>
      <c r="H45" s="149"/>
      <c r="I45" s="155"/>
    </row>
    <row r="46" spans="1:9" ht="22.5" customHeight="1" x14ac:dyDescent="0.25">
      <c r="A46" s="170"/>
      <c r="B46" s="171"/>
      <c r="C46" s="69" t="s">
        <v>56</v>
      </c>
      <c r="D46" s="179"/>
      <c r="E46" s="180"/>
      <c r="F46" s="181"/>
      <c r="G46" s="149"/>
      <c r="H46" s="149"/>
      <c r="I46" s="155"/>
    </row>
    <row r="47" spans="1:9" ht="22.5" x14ac:dyDescent="0.25">
      <c r="A47" s="170"/>
      <c r="B47" s="171"/>
      <c r="C47" s="70" t="s">
        <v>57</v>
      </c>
      <c r="D47" s="179"/>
      <c r="E47" s="180"/>
      <c r="F47" s="181"/>
      <c r="G47" s="149"/>
      <c r="H47" s="149"/>
      <c r="I47" s="155"/>
    </row>
    <row r="48" spans="1:9" ht="15" customHeight="1" x14ac:dyDescent="0.25">
      <c r="A48" s="170"/>
      <c r="B48" s="171"/>
      <c r="C48" s="69" t="s">
        <v>58</v>
      </c>
      <c r="D48" s="179"/>
      <c r="E48" s="180"/>
      <c r="F48" s="181"/>
      <c r="G48" s="149"/>
      <c r="H48" s="149"/>
      <c r="I48" s="155"/>
    </row>
    <row r="49" spans="1:9" x14ac:dyDescent="0.25">
      <c r="A49" s="170"/>
      <c r="B49" s="171"/>
      <c r="C49" s="70" t="s">
        <v>59</v>
      </c>
      <c r="D49" s="179"/>
      <c r="E49" s="180"/>
      <c r="F49" s="181"/>
      <c r="G49" s="149"/>
      <c r="H49" s="149"/>
      <c r="I49" s="155"/>
    </row>
    <row r="50" spans="1:9" ht="22.5" customHeight="1" x14ac:dyDescent="0.25">
      <c r="A50" s="170"/>
      <c r="B50" s="171"/>
      <c r="C50" s="69" t="s">
        <v>60</v>
      </c>
      <c r="D50" s="179"/>
      <c r="E50" s="180"/>
      <c r="F50" s="181"/>
      <c r="G50" s="149"/>
      <c r="H50" s="149"/>
      <c r="I50" s="155"/>
    </row>
    <row r="51" spans="1:9" x14ac:dyDescent="0.25">
      <c r="A51" s="170"/>
      <c r="B51" s="171"/>
      <c r="C51" s="76" t="s">
        <v>61</v>
      </c>
      <c r="D51" s="179"/>
      <c r="E51" s="180"/>
      <c r="F51" s="181"/>
      <c r="G51" s="137"/>
      <c r="H51" s="137"/>
      <c r="I51" s="136"/>
    </row>
    <row r="52" spans="1:9" x14ac:dyDescent="0.25">
      <c r="A52" s="156">
        <v>12</v>
      </c>
      <c r="B52" s="187" t="s">
        <v>63</v>
      </c>
      <c r="C52" s="25" t="s">
        <v>26</v>
      </c>
      <c r="D52" s="159">
        <f>E52/H7</f>
        <v>5.2336448598130844E-2</v>
      </c>
      <c r="E52" s="230">
        <v>280</v>
      </c>
      <c r="F52" s="110">
        <v>5</v>
      </c>
      <c r="G52" s="112" t="s">
        <v>6</v>
      </c>
      <c r="H52" s="112" t="s">
        <v>90</v>
      </c>
      <c r="I52" s="164" t="s">
        <v>11</v>
      </c>
    </row>
    <row r="53" spans="1:9" ht="22.5" x14ac:dyDescent="0.25">
      <c r="A53" s="156"/>
      <c r="B53" s="187"/>
      <c r="C53" s="27" t="s">
        <v>64</v>
      </c>
      <c r="D53" s="159"/>
      <c r="E53" s="231"/>
      <c r="F53" s="110"/>
      <c r="G53" s="112"/>
      <c r="H53" s="112"/>
      <c r="I53" s="164"/>
    </row>
    <row r="54" spans="1:9" x14ac:dyDescent="0.25">
      <c r="A54" s="156"/>
      <c r="B54" s="187"/>
      <c r="C54" s="27" t="s">
        <v>65</v>
      </c>
      <c r="D54" s="159"/>
      <c r="E54" s="231"/>
      <c r="F54" s="110"/>
      <c r="G54" s="112"/>
      <c r="H54" s="112"/>
      <c r="I54" s="164"/>
    </row>
    <row r="55" spans="1:9" x14ac:dyDescent="0.25">
      <c r="A55" s="156"/>
      <c r="B55" s="187"/>
      <c r="C55" s="28" t="s">
        <v>66</v>
      </c>
      <c r="D55" s="159"/>
      <c r="E55" s="232"/>
      <c r="F55" s="110"/>
      <c r="G55" s="112"/>
      <c r="H55" s="112"/>
      <c r="I55" s="164"/>
    </row>
    <row r="56" spans="1:9" ht="15" customHeight="1" x14ac:dyDescent="0.25">
      <c r="A56" s="178">
        <v>13</v>
      </c>
      <c r="B56" s="171" t="s">
        <v>31</v>
      </c>
      <c r="C56" s="68" t="s">
        <v>26</v>
      </c>
      <c r="D56" s="179">
        <f>E56/H7</f>
        <v>5.6074766355140183E-3</v>
      </c>
      <c r="E56" s="121">
        <v>30</v>
      </c>
      <c r="F56" s="181">
        <v>5</v>
      </c>
      <c r="G56" s="171" t="s">
        <v>6</v>
      </c>
      <c r="H56" s="171" t="s">
        <v>89</v>
      </c>
      <c r="I56" s="182" t="s">
        <v>11</v>
      </c>
    </row>
    <row r="57" spans="1:9" ht="22.5" x14ac:dyDescent="0.25">
      <c r="A57" s="178"/>
      <c r="B57" s="171"/>
      <c r="C57" s="71" t="s">
        <v>67</v>
      </c>
      <c r="D57" s="179"/>
      <c r="E57" s="152"/>
      <c r="F57" s="181"/>
      <c r="G57" s="171"/>
      <c r="H57" s="171"/>
      <c r="I57" s="182"/>
    </row>
    <row r="58" spans="1:9" x14ac:dyDescent="0.25">
      <c r="A58" s="178"/>
      <c r="B58" s="171"/>
      <c r="C58" s="69" t="s">
        <v>68</v>
      </c>
      <c r="D58" s="179"/>
      <c r="E58" s="152"/>
      <c r="F58" s="181"/>
      <c r="G58" s="171"/>
      <c r="H58" s="171"/>
      <c r="I58" s="182"/>
    </row>
    <row r="59" spans="1:9" ht="15.75" thickBot="1" x14ac:dyDescent="0.3">
      <c r="A59" s="213"/>
      <c r="B59" s="189"/>
      <c r="C59" s="94" t="s">
        <v>69</v>
      </c>
      <c r="D59" s="190"/>
      <c r="E59" s="122"/>
      <c r="F59" s="192"/>
      <c r="G59" s="189"/>
      <c r="H59" s="189"/>
      <c r="I59" s="193"/>
    </row>
    <row r="60" spans="1:9" ht="15.75" thickBot="1" x14ac:dyDescent="0.3">
      <c r="A60" s="146" t="s">
        <v>16</v>
      </c>
      <c r="B60" s="147"/>
      <c r="C60" s="147"/>
      <c r="D60" s="147"/>
      <c r="E60" s="147"/>
      <c r="F60" s="147"/>
      <c r="G60" s="147"/>
      <c r="H60" s="147"/>
      <c r="I60" s="148"/>
    </row>
    <row r="61" spans="1:9" s="3" customFormat="1" ht="21" customHeight="1" x14ac:dyDescent="0.25">
      <c r="A61" s="194">
        <v>14</v>
      </c>
      <c r="B61" s="197" t="s">
        <v>16</v>
      </c>
      <c r="C61" s="30" t="s">
        <v>26</v>
      </c>
      <c r="D61" s="200">
        <f>E61/H7</f>
        <v>1.1214953271028037E-2</v>
      </c>
      <c r="E61" s="203">
        <v>60</v>
      </c>
      <c r="F61" s="206">
        <v>3</v>
      </c>
      <c r="G61" s="209" t="s">
        <v>6</v>
      </c>
      <c r="H61" s="209" t="s">
        <v>89</v>
      </c>
      <c r="I61" s="211" t="s">
        <v>11</v>
      </c>
    </row>
    <row r="62" spans="1:9" s="3" customFormat="1" ht="24" customHeight="1" thickBot="1" x14ac:dyDescent="0.3">
      <c r="A62" s="196"/>
      <c r="B62" s="199"/>
      <c r="C62" s="46" t="s">
        <v>70</v>
      </c>
      <c r="D62" s="202"/>
      <c r="E62" s="205"/>
      <c r="F62" s="208"/>
      <c r="G62" s="210"/>
      <c r="H62" s="210"/>
      <c r="I62" s="212"/>
    </row>
    <row r="63" spans="1:9" ht="15.75" thickBot="1" x14ac:dyDescent="0.3">
      <c r="A63" s="146" t="s">
        <v>17</v>
      </c>
      <c r="B63" s="147"/>
      <c r="C63" s="147"/>
      <c r="D63" s="147"/>
      <c r="E63" s="147"/>
      <c r="F63" s="147"/>
      <c r="G63" s="147"/>
      <c r="H63" s="147"/>
      <c r="I63" s="148"/>
    </row>
    <row r="64" spans="1:9" ht="18.75" customHeight="1" x14ac:dyDescent="0.25">
      <c r="A64" s="142">
        <v>15</v>
      </c>
      <c r="B64" s="137" t="s">
        <v>91</v>
      </c>
      <c r="C64" s="76" t="s">
        <v>26</v>
      </c>
      <c r="D64" s="141">
        <f>E64/H7</f>
        <v>7.4766355140186919E-3</v>
      </c>
      <c r="E64" s="153">
        <v>40</v>
      </c>
      <c r="F64" s="138">
        <v>5</v>
      </c>
      <c r="G64" s="137" t="s">
        <v>6</v>
      </c>
      <c r="H64" s="137" t="s">
        <v>95</v>
      </c>
      <c r="I64" s="136" t="s">
        <v>14</v>
      </c>
    </row>
    <row r="65" spans="1:9" ht="18.75" customHeight="1" x14ac:dyDescent="0.25">
      <c r="A65" s="178"/>
      <c r="B65" s="171"/>
      <c r="C65" s="83" t="s">
        <v>195</v>
      </c>
      <c r="D65" s="179"/>
      <c r="E65" s="180"/>
      <c r="F65" s="181"/>
      <c r="G65" s="171"/>
      <c r="H65" s="171"/>
      <c r="I65" s="182"/>
    </row>
    <row r="66" spans="1:9" ht="18.75" customHeight="1" x14ac:dyDescent="0.25">
      <c r="A66" s="178"/>
      <c r="B66" s="171"/>
      <c r="C66" s="83" t="s">
        <v>92</v>
      </c>
      <c r="D66" s="179"/>
      <c r="E66" s="180"/>
      <c r="F66" s="181"/>
      <c r="G66" s="171"/>
      <c r="H66" s="171"/>
      <c r="I66" s="182"/>
    </row>
    <row r="67" spans="1:9" ht="24.75" customHeight="1" x14ac:dyDescent="0.25">
      <c r="A67" s="178"/>
      <c r="B67" s="171"/>
      <c r="C67" s="83" t="s">
        <v>94</v>
      </c>
      <c r="D67" s="179"/>
      <c r="E67" s="180"/>
      <c r="F67" s="181"/>
      <c r="G67" s="171"/>
      <c r="H67" s="171"/>
      <c r="I67" s="182"/>
    </row>
    <row r="68" spans="1:9" ht="18.75" customHeight="1" x14ac:dyDescent="0.25">
      <c r="A68" s="130">
        <v>16</v>
      </c>
      <c r="B68" s="131" t="s">
        <v>196</v>
      </c>
      <c r="C68" s="18" t="s">
        <v>26</v>
      </c>
      <c r="D68" s="133">
        <f>E68/H7</f>
        <v>7.4766355140186919E-3</v>
      </c>
      <c r="E68" s="134">
        <v>40</v>
      </c>
      <c r="F68" s="135">
        <v>5</v>
      </c>
      <c r="G68" s="131" t="s">
        <v>6</v>
      </c>
      <c r="H68" s="131" t="s">
        <v>95</v>
      </c>
      <c r="I68" s="128" t="s">
        <v>14</v>
      </c>
    </row>
    <row r="69" spans="1:9" ht="18.75" customHeight="1" x14ac:dyDescent="0.25">
      <c r="A69" s="156"/>
      <c r="B69" s="112"/>
      <c r="C69" s="29" t="s">
        <v>219</v>
      </c>
      <c r="D69" s="159"/>
      <c r="E69" s="161"/>
      <c r="F69" s="110"/>
      <c r="G69" s="112"/>
      <c r="H69" s="112"/>
      <c r="I69" s="164"/>
    </row>
    <row r="70" spans="1:9" ht="18.75" customHeight="1" x14ac:dyDescent="0.25">
      <c r="A70" s="156"/>
      <c r="B70" s="112"/>
      <c r="C70" s="29" t="s">
        <v>92</v>
      </c>
      <c r="D70" s="159"/>
      <c r="E70" s="161"/>
      <c r="F70" s="110"/>
      <c r="G70" s="112"/>
      <c r="H70" s="112"/>
      <c r="I70" s="164"/>
    </row>
    <row r="71" spans="1:9" ht="18.75" customHeight="1" x14ac:dyDescent="0.25">
      <c r="A71" s="156"/>
      <c r="B71" s="112"/>
      <c r="C71" s="29" t="s">
        <v>93</v>
      </c>
      <c r="D71" s="159"/>
      <c r="E71" s="161"/>
      <c r="F71" s="110"/>
      <c r="G71" s="112"/>
      <c r="H71" s="112"/>
      <c r="I71" s="164"/>
    </row>
    <row r="72" spans="1:9" ht="18.75" customHeight="1" x14ac:dyDescent="0.25">
      <c r="A72" s="178">
        <v>17</v>
      </c>
      <c r="B72" s="171" t="s">
        <v>220</v>
      </c>
      <c r="C72" s="83" t="s">
        <v>26</v>
      </c>
      <c r="D72" s="179">
        <f>E72/H7</f>
        <v>2.2429906542056073E-2</v>
      </c>
      <c r="E72" s="180">
        <v>120</v>
      </c>
      <c r="F72" s="181">
        <v>5</v>
      </c>
      <c r="G72" s="171" t="s">
        <v>6</v>
      </c>
      <c r="H72" s="171" t="s">
        <v>235</v>
      </c>
      <c r="I72" s="182" t="s">
        <v>11</v>
      </c>
    </row>
    <row r="73" spans="1:9" ht="18.75" customHeight="1" x14ac:dyDescent="0.25">
      <c r="A73" s="178"/>
      <c r="B73" s="171"/>
      <c r="C73" s="83" t="s">
        <v>221</v>
      </c>
      <c r="D73" s="179"/>
      <c r="E73" s="180"/>
      <c r="F73" s="181"/>
      <c r="G73" s="171"/>
      <c r="H73" s="171"/>
      <c r="I73" s="182"/>
    </row>
    <row r="74" spans="1:9" ht="18.75" customHeight="1" x14ac:dyDescent="0.25">
      <c r="A74" s="178"/>
      <c r="B74" s="171"/>
      <c r="C74" s="83" t="s">
        <v>222</v>
      </c>
      <c r="D74" s="179"/>
      <c r="E74" s="180"/>
      <c r="F74" s="181"/>
      <c r="G74" s="171"/>
      <c r="H74" s="171"/>
      <c r="I74" s="182"/>
    </row>
    <row r="75" spans="1:9" ht="21.75" customHeight="1" x14ac:dyDescent="0.25">
      <c r="A75" s="178"/>
      <c r="B75" s="171"/>
      <c r="C75" s="83" t="s">
        <v>224</v>
      </c>
      <c r="D75" s="179"/>
      <c r="E75" s="180"/>
      <c r="F75" s="181"/>
      <c r="G75" s="171"/>
      <c r="H75" s="171"/>
      <c r="I75" s="182"/>
    </row>
    <row r="76" spans="1:9" ht="18.75" customHeight="1" thickBot="1" x14ac:dyDescent="0.3">
      <c r="A76" s="213"/>
      <c r="B76" s="189"/>
      <c r="C76" s="92" t="s">
        <v>223</v>
      </c>
      <c r="D76" s="190"/>
      <c r="E76" s="191"/>
      <c r="F76" s="192"/>
      <c r="G76" s="189"/>
      <c r="H76" s="189"/>
      <c r="I76" s="193"/>
    </row>
    <row r="77" spans="1:9" ht="15.75" thickBot="1" x14ac:dyDescent="0.3">
      <c r="A77" s="146" t="s">
        <v>114</v>
      </c>
      <c r="B77" s="147"/>
      <c r="C77" s="147"/>
      <c r="D77" s="147"/>
      <c r="E77" s="147"/>
      <c r="F77" s="147"/>
      <c r="G77" s="147"/>
      <c r="H77" s="147"/>
      <c r="I77" s="148"/>
    </row>
    <row r="78" spans="1:9" ht="17.25" customHeight="1" x14ac:dyDescent="0.25">
      <c r="A78" s="233">
        <v>18</v>
      </c>
      <c r="B78" s="131" t="s">
        <v>225</v>
      </c>
      <c r="C78" s="95" t="s">
        <v>26</v>
      </c>
      <c r="D78" s="133">
        <f>E78/H7</f>
        <v>4.6728971962616819E-3</v>
      </c>
      <c r="E78" s="134">
        <v>25</v>
      </c>
      <c r="F78" s="135">
        <v>2</v>
      </c>
      <c r="G78" s="131" t="s">
        <v>6</v>
      </c>
      <c r="H78" s="131" t="s">
        <v>14</v>
      </c>
      <c r="I78" s="128" t="s">
        <v>14</v>
      </c>
    </row>
    <row r="79" spans="1:9" ht="17.25" customHeight="1" x14ac:dyDescent="0.25">
      <c r="A79" s="186"/>
      <c r="B79" s="112"/>
      <c r="C79" s="17" t="s">
        <v>197</v>
      </c>
      <c r="D79" s="159"/>
      <c r="E79" s="161"/>
      <c r="F79" s="110"/>
      <c r="G79" s="112"/>
      <c r="H79" s="112"/>
      <c r="I79" s="164"/>
    </row>
    <row r="80" spans="1:9" ht="17.25" customHeight="1" x14ac:dyDescent="0.25">
      <c r="A80" s="186"/>
      <c r="B80" s="112"/>
      <c r="C80" s="28" t="s">
        <v>96</v>
      </c>
      <c r="D80" s="159"/>
      <c r="E80" s="161"/>
      <c r="F80" s="110"/>
      <c r="G80" s="112"/>
      <c r="H80" s="112"/>
      <c r="I80" s="164"/>
    </row>
    <row r="81" spans="1:9" ht="15.75" customHeight="1" x14ac:dyDescent="0.25">
      <c r="A81" s="178">
        <v>19</v>
      </c>
      <c r="B81" s="171" t="s">
        <v>19</v>
      </c>
      <c r="C81" s="96" t="s">
        <v>26</v>
      </c>
      <c r="D81" s="179">
        <f>E81/H7</f>
        <v>4.6728971962616819E-3</v>
      </c>
      <c r="E81" s="180">
        <v>25</v>
      </c>
      <c r="F81" s="181">
        <v>2</v>
      </c>
      <c r="G81" s="171" t="s">
        <v>6</v>
      </c>
      <c r="H81" s="171" t="s">
        <v>14</v>
      </c>
      <c r="I81" s="182" t="s">
        <v>14</v>
      </c>
    </row>
    <row r="82" spans="1:9" ht="15" customHeight="1" x14ac:dyDescent="0.25">
      <c r="A82" s="178"/>
      <c r="B82" s="171"/>
      <c r="C82" s="72" t="s">
        <v>218</v>
      </c>
      <c r="D82" s="179"/>
      <c r="E82" s="180"/>
      <c r="F82" s="181"/>
      <c r="G82" s="171"/>
      <c r="H82" s="171"/>
      <c r="I82" s="182"/>
    </row>
    <row r="83" spans="1:9" ht="14.25" customHeight="1" x14ac:dyDescent="0.25">
      <c r="A83" s="186">
        <v>20</v>
      </c>
      <c r="B83" s="187" t="s">
        <v>18</v>
      </c>
      <c r="C83" s="32" t="s">
        <v>26</v>
      </c>
      <c r="D83" s="159">
        <f>E83/H7</f>
        <v>4.6728971962616819E-3</v>
      </c>
      <c r="E83" s="161">
        <v>25</v>
      </c>
      <c r="F83" s="110">
        <v>2</v>
      </c>
      <c r="G83" s="112" t="s">
        <v>6</v>
      </c>
      <c r="H83" s="112" t="s">
        <v>14</v>
      </c>
      <c r="I83" s="164" t="s">
        <v>14</v>
      </c>
    </row>
    <row r="84" spans="1:9" ht="14.25" customHeight="1" x14ac:dyDescent="0.25">
      <c r="A84" s="186"/>
      <c r="B84" s="187"/>
      <c r="C84" s="28" t="s">
        <v>115</v>
      </c>
      <c r="D84" s="159"/>
      <c r="E84" s="161"/>
      <c r="F84" s="110"/>
      <c r="G84" s="112"/>
      <c r="H84" s="112"/>
      <c r="I84" s="164"/>
    </row>
    <row r="85" spans="1:9" ht="14.25" customHeight="1" x14ac:dyDescent="0.25">
      <c r="A85" s="170">
        <v>21</v>
      </c>
      <c r="B85" s="171" t="s">
        <v>116</v>
      </c>
      <c r="C85" s="96" t="s">
        <v>26</v>
      </c>
      <c r="D85" s="179">
        <f>E85/H7</f>
        <v>4.6728971962616819E-3</v>
      </c>
      <c r="E85" s="180">
        <v>25</v>
      </c>
      <c r="F85" s="181">
        <v>2</v>
      </c>
      <c r="G85" s="171" t="s">
        <v>6</v>
      </c>
      <c r="H85" s="171" t="s">
        <v>14</v>
      </c>
      <c r="I85" s="182" t="s">
        <v>14</v>
      </c>
    </row>
    <row r="86" spans="1:9" ht="14.25" customHeight="1" x14ac:dyDescent="0.25">
      <c r="A86" s="170"/>
      <c r="B86" s="171"/>
      <c r="C86" s="72" t="s">
        <v>117</v>
      </c>
      <c r="D86" s="179"/>
      <c r="E86" s="180"/>
      <c r="F86" s="181"/>
      <c r="G86" s="171"/>
      <c r="H86" s="171"/>
      <c r="I86" s="182"/>
    </row>
    <row r="87" spans="1:9" ht="18" customHeight="1" x14ac:dyDescent="0.25">
      <c r="A87" s="186">
        <v>22</v>
      </c>
      <c r="B87" s="187" t="s">
        <v>20</v>
      </c>
      <c r="C87" s="32" t="s">
        <v>26</v>
      </c>
      <c r="D87" s="159">
        <f>E87/H7</f>
        <v>4.6728971962616819E-3</v>
      </c>
      <c r="E87" s="161">
        <v>25</v>
      </c>
      <c r="F87" s="110">
        <v>2</v>
      </c>
      <c r="G87" s="112" t="s">
        <v>6</v>
      </c>
      <c r="H87" s="112" t="s">
        <v>14</v>
      </c>
      <c r="I87" s="164" t="s">
        <v>14</v>
      </c>
    </row>
    <row r="88" spans="1:9" ht="18.75" customHeight="1" x14ac:dyDescent="0.25">
      <c r="A88" s="186"/>
      <c r="B88" s="187"/>
      <c r="C88" s="28" t="s">
        <v>118</v>
      </c>
      <c r="D88" s="159"/>
      <c r="E88" s="161"/>
      <c r="F88" s="110"/>
      <c r="G88" s="112"/>
      <c r="H88" s="112"/>
      <c r="I88" s="164"/>
    </row>
    <row r="89" spans="1:9" ht="15" customHeight="1" x14ac:dyDescent="0.25">
      <c r="A89" s="115">
        <v>23</v>
      </c>
      <c r="B89" s="117" t="s">
        <v>119</v>
      </c>
      <c r="C89" s="96" t="s">
        <v>26</v>
      </c>
      <c r="D89" s="119">
        <f>E89/H7</f>
        <v>4.6728971962616819E-3</v>
      </c>
      <c r="E89" s="121">
        <v>25</v>
      </c>
      <c r="F89" s="123">
        <v>2</v>
      </c>
      <c r="G89" s="117" t="s">
        <v>6</v>
      </c>
      <c r="H89" s="117" t="s">
        <v>121</v>
      </c>
      <c r="I89" s="125" t="s">
        <v>121</v>
      </c>
    </row>
    <row r="90" spans="1:9" ht="17.25" customHeight="1" x14ac:dyDescent="0.25">
      <c r="A90" s="142"/>
      <c r="B90" s="137"/>
      <c r="C90" s="72" t="s">
        <v>120</v>
      </c>
      <c r="D90" s="141"/>
      <c r="E90" s="153"/>
      <c r="F90" s="138"/>
      <c r="G90" s="137"/>
      <c r="H90" s="137"/>
      <c r="I90" s="136"/>
    </row>
    <row r="91" spans="1:9" ht="17.25" customHeight="1" x14ac:dyDescent="0.25">
      <c r="A91" s="277">
        <v>24</v>
      </c>
      <c r="B91" s="187" t="s">
        <v>122</v>
      </c>
      <c r="C91" s="106" t="s">
        <v>26</v>
      </c>
      <c r="D91" s="281">
        <f>E91/H7</f>
        <v>4.6728971962616819E-3</v>
      </c>
      <c r="E91" s="218">
        <v>25</v>
      </c>
      <c r="F91" s="238">
        <v>2</v>
      </c>
      <c r="G91" s="187" t="s">
        <v>6</v>
      </c>
      <c r="H91" s="187" t="s">
        <v>14</v>
      </c>
      <c r="I91" s="240" t="s">
        <v>14</v>
      </c>
    </row>
    <row r="92" spans="1:9" ht="17.25" customHeight="1" x14ac:dyDescent="0.25">
      <c r="A92" s="278"/>
      <c r="B92" s="187"/>
      <c r="C92" s="107" t="s">
        <v>106</v>
      </c>
      <c r="D92" s="282"/>
      <c r="E92" s="218"/>
      <c r="F92" s="238"/>
      <c r="G92" s="187"/>
      <c r="H92" s="187"/>
      <c r="I92" s="240"/>
    </row>
    <row r="93" spans="1:9" ht="17.25" customHeight="1" x14ac:dyDescent="0.25">
      <c r="A93" s="279"/>
      <c r="B93" s="280"/>
      <c r="C93" s="108" t="s">
        <v>123</v>
      </c>
      <c r="D93" s="282"/>
      <c r="E93" s="283"/>
      <c r="F93" s="284"/>
      <c r="G93" s="280"/>
      <c r="H93" s="280"/>
      <c r="I93" s="285"/>
    </row>
    <row r="94" spans="1:9" ht="17.25" customHeight="1" x14ac:dyDescent="0.25">
      <c r="A94" s="115">
        <v>25</v>
      </c>
      <c r="B94" s="171" t="s">
        <v>230</v>
      </c>
      <c r="C94" s="83" t="s">
        <v>26</v>
      </c>
      <c r="D94" s="179">
        <f>E94/H7</f>
        <v>4.6728971962616819E-3</v>
      </c>
      <c r="E94" s="180">
        <v>25</v>
      </c>
      <c r="F94" s="181">
        <v>2</v>
      </c>
      <c r="G94" s="171" t="s">
        <v>6</v>
      </c>
      <c r="H94" s="171" t="s">
        <v>14</v>
      </c>
      <c r="I94" s="171" t="s">
        <v>14</v>
      </c>
    </row>
    <row r="95" spans="1:9" ht="17.25" customHeight="1" x14ac:dyDescent="0.25">
      <c r="A95" s="150"/>
      <c r="B95" s="171"/>
      <c r="C95" s="83" t="s">
        <v>231</v>
      </c>
      <c r="D95" s="179"/>
      <c r="E95" s="180"/>
      <c r="F95" s="181"/>
      <c r="G95" s="171"/>
      <c r="H95" s="171"/>
      <c r="I95" s="171"/>
    </row>
    <row r="96" spans="1:9" x14ac:dyDescent="0.25">
      <c r="A96" s="234">
        <v>26</v>
      </c>
      <c r="B96" s="187" t="s">
        <v>229</v>
      </c>
      <c r="C96" s="96" t="s">
        <v>26</v>
      </c>
      <c r="D96" s="236">
        <f>E96/H7</f>
        <v>4.6728971962616819E-3</v>
      </c>
      <c r="E96" s="218">
        <v>25</v>
      </c>
      <c r="F96" s="238">
        <v>2</v>
      </c>
      <c r="G96" s="187" t="s">
        <v>6</v>
      </c>
      <c r="H96" s="187" t="s">
        <v>14</v>
      </c>
      <c r="I96" s="240" t="s">
        <v>14</v>
      </c>
    </row>
    <row r="97" spans="1:9" ht="23.25" customHeight="1" thickBot="1" x14ac:dyDescent="0.3">
      <c r="A97" s="235"/>
      <c r="B97" s="184"/>
      <c r="C97" s="72" t="s">
        <v>232</v>
      </c>
      <c r="D97" s="237"/>
      <c r="E97" s="219"/>
      <c r="F97" s="239"/>
      <c r="G97" s="184"/>
      <c r="H97" s="184"/>
      <c r="I97" s="241"/>
    </row>
    <row r="98" spans="1:9" ht="15.75" thickBot="1" x14ac:dyDescent="0.3">
      <c r="A98" s="146" t="s">
        <v>104</v>
      </c>
      <c r="B98" s="147"/>
      <c r="C98" s="147"/>
      <c r="D98" s="147"/>
      <c r="E98" s="147"/>
      <c r="F98" s="147"/>
      <c r="G98" s="147"/>
      <c r="H98" s="147"/>
      <c r="I98" s="148"/>
    </row>
    <row r="99" spans="1:9" ht="15" customHeight="1" x14ac:dyDescent="0.25">
      <c r="A99" s="142">
        <v>27</v>
      </c>
      <c r="B99" s="137" t="s">
        <v>104</v>
      </c>
      <c r="C99" s="97" t="s">
        <v>26</v>
      </c>
      <c r="D99" s="141">
        <f>E99/H7</f>
        <v>9.3457943925233649E-4</v>
      </c>
      <c r="E99" s="153">
        <v>5</v>
      </c>
      <c r="F99" s="138">
        <v>2</v>
      </c>
      <c r="G99" s="137" t="s">
        <v>6</v>
      </c>
      <c r="H99" s="137" t="s">
        <v>14</v>
      </c>
      <c r="I99" s="136" t="s">
        <v>14</v>
      </c>
    </row>
    <row r="100" spans="1:9" ht="21.75" customHeight="1" thickBot="1" x14ac:dyDescent="0.3">
      <c r="A100" s="213"/>
      <c r="B100" s="189"/>
      <c r="C100" s="73" t="s">
        <v>105</v>
      </c>
      <c r="D100" s="190"/>
      <c r="E100" s="191"/>
      <c r="F100" s="192"/>
      <c r="G100" s="189"/>
      <c r="H100" s="189"/>
      <c r="I100" s="193"/>
    </row>
    <row r="101" spans="1:9" ht="15.75" thickBot="1" x14ac:dyDescent="0.3">
      <c r="A101" s="146" t="s">
        <v>102</v>
      </c>
      <c r="B101" s="147"/>
      <c r="C101" s="147"/>
      <c r="D101" s="147"/>
      <c r="E101" s="147"/>
      <c r="F101" s="147"/>
      <c r="G101" s="147"/>
      <c r="H101" s="147"/>
      <c r="I101" s="148"/>
    </row>
    <row r="102" spans="1:9" ht="15" customHeight="1" x14ac:dyDescent="0.25">
      <c r="A102" s="130">
        <v>28</v>
      </c>
      <c r="B102" s="242" t="s">
        <v>102</v>
      </c>
      <c r="C102" s="95" t="s">
        <v>26</v>
      </c>
      <c r="D102" s="133">
        <f>E102/H7</f>
        <v>1.869158878504673E-3</v>
      </c>
      <c r="E102" s="134">
        <v>10</v>
      </c>
      <c r="F102" s="135">
        <v>5</v>
      </c>
      <c r="G102" s="131" t="s">
        <v>6</v>
      </c>
      <c r="H102" s="131" t="s">
        <v>14</v>
      </c>
      <c r="I102" s="128" t="s">
        <v>14</v>
      </c>
    </row>
    <row r="103" spans="1:9" ht="15.75" thickBot="1" x14ac:dyDescent="0.3">
      <c r="A103" s="157"/>
      <c r="B103" s="239"/>
      <c r="C103" s="47" t="s">
        <v>103</v>
      </c>
      <c r="D103" s="160"/>
      <c r="E103" s="162"/>
      <c r="F103" s="163"/>
      <c r="G103" s="158"/>
      <c r="H103" s="158"/>
      <c r="I103" s="165"/>
    </row>
    <row r="104" spans="1:9" ht="15.75" thickBot="1" x14ac:dyDescent="0.3">
      <c r="A104" s="146" t="s">
        <v>97</v>
      </c>
      <c r="B104" s="147"/>
      <c r="C104" s="147"/>
      <c r="D104" s="147"/>
      <c r="E104" s="147"/>
      <c r="F104" s="147"/>
      <c r="G104" s="147"/>
      <c r="H104" s="147"/>
      <c r="I104" s="148"/>
    </row>
    <row r="105" spans="1:9" ht="15" customHeight="1" x14ac:dyDescent="0.25">
      <c r="A105" s="169">
        <v>29</v>
      </c>
      <c r="B105" s="137" t="s">
        <v>97</v>
      </c>
      <c r="C105" s="97" t="s">
        <v>26</v>
      </c>
      <c r="D105" s="141">
        <f>E105/H7</f>
        <v>9.3457943925233649E-4</v>
      </c>
      <c r="E105" s="153">
        <v>5</v>
      </c>
      <c r="F105" s="138">
        <v>1</v>
      </c>
      <c r="G105" s="137" t="s">
        <v>6</v>
      </c>
      <c r="H105" s="137" t="s">
        <v>101</v>
      </c>
      <c r="I105" s="136" t="s">
        <v>101</v>
      </c>
    </row>
    <row r="106" spans="1:9" x14ac:dyDescent="0.25">
      <c r="A106" s="170"/>
      <c r="B106" s="171"/>
      <c r="C106" s="70" t="s">
        <v>98</v>
      </c>
      <c r="D106" s="179"/>
      <c r="E106" s="180"/>
      <c r="F106" s="181"/>
      <c r="G106" s="171"/>
      <c r="H106" s="171"/>
      <c r="I106" s="182"/>
    </row>
    <row r="107" spans="1:9" x14ac:dyDescent="0.25">
      <c r="A107" s="170"/>
      <c r="B107" s="171"/>
      <c r="C107" s="71" t="s">
        <v>99</v>
      </c>
      <c r="D107" s="179"/>
      <c r="E107" s="180"/>
      <c r="F107" s="181"/>
      <c r="G107" s="171"/>
      <c r="H107" s="171"/>
      <c r="I107" s="182"/>
    </row>
    <row r="108" spans="1:9" ht="15.75" thickBot="1" x14ac:dyDescent="0.3">
      <c r="A108" s="188"/>
      <c r="B108" s="189"/>
      <c r="C108" s="73" t="s">
        <v>107</v>
      </c>
      <c r="D108" s="190"/>
      <c r="E108" s="191"/>
      <c r="F108" s="192"/>
      <c r="G108" s="189"/>
      <c r="H108" s="189"/>
      <c r="I108" s="193"/>
    </row>
    <row r="109" spans="1:9" ht="15.75" thickBot="1" x14ac:dyDescent="0.3">
      <c r="A109" s="146" t="s">
        <v>21</v>
      </c>
      <c r="B109" s="147"/>
      <c r="C109" s="147"/>
      <c r="D109" s="147"/>
      <c r="E109" s="147"/>
      <c r="F109" s="147"/>
      <c r="G109" s="147"/>
      <c r="H109" s="147"/>
      <c r="I109" s="148"/>
    </row>
    <row r="110" spans="1:9" x14ac:dyDescent="0.25">
      <c r="A110" s="233">
        <v>30</v>
      </c>
      <c r="B110" s="131" t="s">
        <v>22</v>
      </c>
      <c r="C110" s="95" t="s">
        <v>26</v>
      </c>
      <c r="D110" s="133">
        <f>E110/H7</f>
        <v>2.2429906542056073E-2</v>
      </c>
      <c r="E110" s="145">
        <v>120</v>
      </c>
      <c r="F110" s="135">
        <v>3</v>
      </c>
      <c r="G110" s="131" t="s">
        <v>6</v>
      </c>
      <c r="H110" s="131" t="s">
        <v>14</v>
      </c>
      <c r="I110" s="128" t="s">
        <v>14</v>
      </c>
    </row>
    <row r="111" spans="1:9" x14ac:dyDescent="0.25">
      <c r="A111" s="186"/>
      <c r="B111" s="112"/>
      <c r="C111" s="26" t="s">
        <v>106</v>
      </c>
      <c r="D111" s="159"/>
      <c r="E111" s="168"/>
      <c r="F111" s="110"/>
      <c r="G111" s="112"/>
      <c r="H111" s="112"/>
      <c r="I111" s="164"/>
    </row>
    <row r="112" spans="1:9" x14ac:dyDescent="0.25">
      <c r="A112" s="186"/>
      <c r="B112" s="112"/>
      <c r="C112" s="18" t="s">
        <v>100</v>
      </c>
      <c r="D112" s="159"/>
      <c r="E112" s="168"/>
      <c r="F112" s="110"/>
      <c r="G112" s="112"/>
      <c r="H112" s="112"/>
      <c r="I112" s="164"/>
    </row>
    <row r="113" spans="1:9" x14ac:dyDescent="0.25">
      <c r="A113" s="170">
        <v>31</v>
      </c>
      <c r="B113" s="171" t="s">
        <v>108</v>
      </c>
      <c r="C113" s="96" t="s">
        <v>26</v>
      </c>
      <c r="D113" s="179">
        <f>E113/H7</f>
        <v>7.4766355140186919E-3</v>
      </c>
      <c r="E113" s="244">
        <v>40</v>
      </c>
      <c r="F113" s="181">
        <v>3</v>
      </c>
      <c r="G113" s="171" t="s">
        <v>6</v>
      </c>
      <c r="H113" s="171" t="s">
        <v>14</v>
      </c>
      <c r="I113" s="182" t="s">
        <v>14</v>
      </c>
    </row>
    <row r="114" spans="1:9" x14ac:dyDescent="0.25">
      <c r="A114" s="170"/>
      <c r="B114" s="171"/>
      <c r="C114" s="69" t="s">
        <v>106</v>
      </c>
      <c r="D114" s="179"/>
      <c r="E114" s="244"/>
      <c r="F114" s="181"/>
      <c r="G114" s="171"/>
      <c r="H114" s="171"/>
      <c r="I114" s="182"/>
    </row>
    <row r="115" spans="1:9" x14ac:dyDescent="0.25">
      <c r="A115" s="170"/>
      <c r="B115" s="171"/>
      <c r="C115" s="70" t="s">
        <v>176</v>
      </c>
      <c r="D115" s="179"/>
      <c r="E115" s="244"/>
      <c r="F115" s="181"/>
      <c r="G115" s="171"/>
      <c r="H115" s="171"/>
      <c r="I115" s="182"/>
    </row>
    <row r="116" spans="1:9" ht="15.75" thickBot="1" x14ac:dyDescent="0.3">
      <c r="A116" s="188"/>
      <c r="B116" s="189"/>
      <c r="C116" s="73" t="s">
        <v>109</v>
      </c>
      <c r="D116" s="190"/>
      <c r="E116" s="245"/>
      <c r="F116" s="192"/>
      <c r="G116" s="189"/>
      <c r="H116" s="189"/>
      <c r="I116" s="193"/>
    </row>
    <row r="117" spans="1:9" ht="15.75" thickBot="1" x14ac:dyDescent="0.3">
      <c r="A117" s="146" t="s">
        <v>110</v>
      </c>
      <c r="B117" s="147"/>
      <c r="C117" s="147"/>
      <c r="D117" s="147"/>
      <c r="E117" s="147"/>
      <c r="F117" s="147"/>
      <c r="G117" s="147"/>
      <c r="H117" s="147"/>
      <c r="I117" s="148"/>
    </row>
    <row r="118" spans="1:9" ht="15" customHeight="1" x14ac:dyDescent="0.25">
      <c r="A118" s="233">
        <v>32</v>
      </c>
      <c r="B118" s="183" t="s">
        <v>110</v>
      </c>
      <c r="C118" s="95" t="s">
        <v>26</v>
      </c>
      <c r="D118" s="133">
        <f>E118/H7</f>
        <v>2.8037383177570093E-2</v>
      </c>
      <c r="E118" s="145">
        <v>150</v>
      </c>
      <c r="F118" s="135">
        <v>15</v>
      </c>
      <c r="G118" s="131" t="s">
        <v>6</v>
      </c>
      <c r="H118" s="131" t="s">
        <v>14</v>
      </c>
      <c r="I118" s="128" t="s">
        <v>14</v>
      </c>
    </row>
    <row r="119" spans="1:9" x14ac:dyDescent="0.25">
      <c r="A119" s="186"/>
      <c r="B119" s="187"/>
      <c r="C119" s="17" t="s">
        <v>111</v>
      </c>
      <c r="D119" s="159"/>
      <c r="E119" s="168"/>
      <c r="F119" s="110"/>
      <c r="G119" s="112"/>
      <c r="H119" s="112"/>
      <c r="I119" s="164"/>
    </row>
    <row r="120" spans="1:9" ht="21.75" customHeight="1" x14ac:dyDescent="0.25">
      <c r="A120" s="186"/>
      <c r="B120" s="187"/>
      <c r="C120" s="27" t="s">
        <v>112</v>
      </c>
      <c r="D120" s="159"/>
      <c r="E120" s="168"/>
      <c r="F120" s="110"/>
      <c r="G120" s="112"/>
      <c r="H120" s="112"/>
      <c r="I120" s="164"/>
    </row>
    <row r="121" spans="1:9" ht="15.75" thickBot="1" x14ac:dyDescent="0.3">
      <c r="A121" s="243"/>
      <c r="B121" s="184"/>
      <c r="C121" s="47" t="s">
        <v>113</v>
      </c>
      <c r="D121" s="160"/>
      <c r="E121" s="185"/>
      <c r="F121" s="163"/>
      <c r="G121" s="158"/>
      <c r="H121" s="158"/>
      <c r="I121" s="165"/>
    </row>
    <row r="122" spans="1:9" ht="15.75" thickBot="1" x14ac:dyDescent="0.3">
      <c r="A122" s="146" t="s">
        <v>216</v>
      </c>
      <c r="B122" s="147"/>
      <c r="C122" s="147"/>
      <c r="D122" s="147"/>
      <c r="E122" s="147"/>
      <c r="F122" s="147"/>
      <c r="G122" s="147"/>
      <c r="H122" s="147"/>
      <c r="I122" s="148"/>
    </row>
    <row r="123" spans="1:9" ht="16.5" customHeight="1" x14ac:dyDescent="0.25">
      <c r="A123" s="142">
        <v>33</v>
      </c>
      <c r="B123" s="137" t="s">
        <v>217</v>
      </c>
      <c r="C123" s="97" t="s">
        <v>26</v>
      </c>
      <c r="D123" s="141">
        <f>E123/H7</f>
        <v>9.3457943925233649E-4</v>
      </c>
      <c r="E123" s="153">
        <v>5</v>
      </c>
      <c r="F123" s="138">
        <v>1</v>
      </c>
      <c r="G123" s="137" t="s">
        <v>6</v>
      </c>
      <c r="H123" s="137" t="s">
        <v>6</v>
      </c>
      <c r="I123" s="136" t="s">
        <v>124</v>
      </c>
    </row>
    <row r="124" spans="1:9" ht="18" customHeight="1" thickBot="1" x14ac:dyDescent="0.3">
      <c r="A124" s="213"/>
      <c r="B124" s="189"/>
      <c r="C124" s="73" t="s">
        <v>233</v>
      </c>
      <c r="D124" s="190"/>
      <c r="E124" s="191"/>
      <c r="F124" s="192"/>
      <c r="G124" s="189"/>
      <c r="H124" s="189"/>
      <c r="I124" s="193"/>
    </row>
    <row r="125" spans="1:9" ht="15.75" thickBot="1" x14ac:dyDescent="0.3">
      <c r="A125" s="146" t="s">
        <v>125</v>
      </c>
      <c r="B125" s="147"/>
      <c r="C125" s="147"/>
      <c r="D125" s="147"/>
      <c r="E125" s="147"/>
      <c r="F125" s="147"/>
      <c r="G125" s="147"/>
      <c r="H125" s="147"/>
      <c r="I125" s="148"/>
    </row>
    <row r="126" spans="1:9" ht="16.5" customHeight="1" x14ac:dyDescent="0.25">
      <c r="A126" s="130">
        <v>34</v>
      </c>
      <c r="B126" s="183" t="s">
        <v>126</v>
      </c>
      <c r="C126" s="95" t="s">
        <v>26</v>
      </c>
      <c r="D126" s="133">
        <f>E126/H7</f>
        <v>2.8037383177570093E-2</v>
      </c>
      <c r="E126" s="145">
        <v>150</v>
      </c>
      <c r="F126" s="135">
        <v>5</v>
      </c>
      <c r="G126" s="131" t="s">
        <v>6</v>
      </c>
      <c r="H126" s="131" t="s">
        <v>89</v>
      </c>
      <c r="I126" s="128" t="s">
        <v>14</v>
      </c>
    </row>
    <row r="127" spans="1:9" ht="16.5" customHeight="1" thickBot="1" x14ac:dyDescent="0.3">
      <c r="A127" s="157"/>
      <c r="B127" s="184"/>
      <c r="C127" s="47" t="s">
        <v>127</v>
      </c>
      <c r="D127" s="160"/>
      <c r="E127" s="185"/>
      <c r="F127" s="163"/>
      <c r="G127" s="158"/>
      <c r="H127" s="158"/>
      <c r="I127" s="165"/>
    </row>
    <row r="128" spans="1:9" ht="15.75" thickBot="1" x14ac:dyDescent="0.3">
      <c r="A128" s="146" t="s">
        <v>128</v>
      </c>
      <c r="B128" s="147"/>
      <c r="C128" s="147"/>
      <c r="D128" s="147"/>
      <c r="E128" s="147"/>
      <c r="F128" s="147"/>
      <c r="G128" s="147"/>
      <c r="H128" s="147"/>
      <c r="I128" s="148"/>
    </row>
    <row r="129" spans="1:9" ht="16.5" customHeight="1" x14ac:dyDescent="0.25">
      <c r="A129" s="142">
        <v>35</v>
      </c>
      <c r="B129" s="137" t="s">
        <v>129</v>
      </c>
      <c r="C129" s="97" t="s">
        <v>26</v>
      </c>
      <c r="D129" s="141">
        <f>E129/H7</f>
        <v>4.6728971962616819E-3</v>
      </c>
      <c r="E129" s="153">
        <v>25</v>
      </c>
      <c r="F129" s="138">
        <v>2</v>
      </c>
      <c r="G129" s="137" t="s">
        <v>6</v>
      </c>
      <c r="H129" s="137" t="s">
        <v>23</v>
      </c>
      <c r="I129" s="136" t="s">
        <v>132</v>
      </c>
    </row>
    <row r="130" spans="1:9" ht="16.5" customHeight="1" x14ac:dyDescent="0.25">
      <c r="A130" s="178"/>
      <c r="B130" s="171"/>
      <c r="C130" s="72" t="s">
        <v>130</v>
      </c>
      <c r="D130" s="179"/>
      <c r="E130" s="180"/>
      <c r="F130" s="181"/>
      <c r="G130" s="171"/>
      <c r="H130" s="171"/>
      <c r="I130" s="182"/>
    </row>
    <row r="131" spans="1:9" ht="16.5" customHeight="1" x14ac:dyDescent="0.25">
      <c r="A131" s="156">
        <v>36</v>
      </c>
      <c r="B131" s="112" t="s">
        <v>178</v>
      </c>
      <c r="C131" s="32" t="s">
        <v>26</v>
      </c>
      <c r="D131" s="159">
        <f>E131/H7</f>
        <v>1.4953271028037384E-2</v>
      </c>
      <c r="E131" s="161">
        <v>80</v>
      </c>
      <c r="F131" s="110">
        <v>15</v>
      </c>
      <c r="G131" s="112" t="s">
        <v>6</v>
      </c>
      <c r="H131" s="112" t="s">
        <v>23</v>
      </c>
      <c r="I131" s="164" t="s">
        <v>177</v>
      </c>
    </row>
    <row r="132" spans="1:9" ht="16.5" customHeight="1" thickBot="1" x14ac:dyDescent="0.3">
      <c r="A132" s="157"/>
      <c r="B132" s="158"/>
      <c r="C132" s="47" t="s">
        <v>131</v>
      </c>
      <c r="D132" s="160"/>
      <c r="E132" s="162"/>
      <c r="F132" s="163"/>
      <c r="G132" s="158"/>
      <c r="H132" s="158"/>
      <c r="I132" s="165"/>
    </row>
    <row r="133" spans="1:9" ht="15.75" thickBot="1" x14ac:dyDescent="0.3">
      <c r="A133" s="146" t="s">
        <v>133</v>
      </c>
      <c r="B133" s="147"/>
      <c r="C133" s="147"/>
      <c r="D133" s="147"/>
      <c r="E133" s="147"/>
      <c r="F133" s="147"/>
      <c r="G133" s="147"/>
      <c r="H133" s="147"/>
      <c r="I133" s="148"/>
    </row>
    <row r="134" spans="1:9" ht="18" customHeight="1" x14ac:dyDescent="0.25">
      <c r="A134" s="169">
        <v>37</v>
      </c>
      <c r="B134" s="137" t="s">
        <v>134</v>
      </c>
      <c r="C134" s="97" t="s">
        <v>26</v>
      </c>
      <c r="D134" s="172">
        <f>E134/H7</f>
        <v>3.7383177570093455E-2</v>
      </c>
      <c r="E134" s="166">
        <v>200</v>
      </c>
      <c r="F134" s="138">
        <v>5</v>
      </c>
      <c r="G134" s="137" t="s">
        <v>6</v>
      </c>
      <c r="H134" s="137" t="s">
        <v>139</v>
      </c>
      <c r="I134" s="136" t="s">
        <v>140</v>
      </c>
    </row>
    <row r="135" spans="1:9" ht="18" customHeight="1" x14ac:dyDescent="0.25">
      <c r="A135" s="170"/>
      <c r="B135" s="171"/>
      <c r="C135" s="70" t="s">
        <v>181</v>
      </c>
      <c r="D135" s="172"/>
      <c r="E135" s="166"/>
      <c r="F135" s="181"/>
      <c r="G135" s="171"/>
      <c r="H135" s="171"/>
      <c r="I135" s="182"/>
    </row>
    <row r="136" spans="1:9" ht="18" customHeight="1" x14ac:dyDescent="0.25">
      <c r="A136" s="170"/>
      <c r="B136" s="171"/>
      <c r="C136" s="71" t="s">
        <v>182</v>
      </c>
      <c r="D136" s="172"/>
      <c r="E136" s="166"/>
      <c r="F136" s="181"/>
      <c r="G136" s="171"/>
      <c r="H136" s="171"/>
      <c r="I136" s="182"/>
    </row>
    <row r="137" spans="1:9" ht="18" customHeight="1" x14ac:dyDescent="0.25">
      <c r="A137" s="170"/>
      <c r="B137" s="171"/>
      <c r="C137" s="71" t="s">
        <v>179</v>
      </c>
      <c r="D137" s="172"/>
      <c r="E137" s="166"/>
      <c r="F137" s="181"/>
      <c r="G137" s="171"/>
      <c r="H137" s="171"/>
      <c r="I137" s="182"/>
    </row>
    <row r="138" spans="1:9" ht="18" customHeight="1" x14ac:dyDescent="0.25">
      <c r="A138" s="170"/>
      <c r="B138" s="171"/>
      <c r="C138" s="71" t="s">
        <v>180</v>
      </c>
      <c r="D138" s="172"/>
      <c r="E138" s="166"/>
      <c r="F138" s="181"/>
      <c r="G138" s="171"/>
      <c r="H138" s="171"/>
      <c r="I138" s="182"/>
    </row>
    <row r="139" spans="1:9" ht="18" customHeight="1" x14ac:dyDescent="0.25">
      <c r="A139" s="170"/>
      <c r="B139" s="171"/>
      <c r="C139" s="71" t="s">
        <v>142</v>
      </c>
      <c r="D139" s="172"/>
      <c r="E139" s="166"/>
      <c r="F139" s="181"/>
      <c r="G139" s="171"/>
      <c r="H139" s="171"/>
      <c r="I139" s="182"/>
    </row>
    <row r="140" spans="1:9" ht="18" customHeight="1" x14ac:dyDescent="0.25">
      <c r="A140" s="170"/>
      <c r="B140" s="171"/>
      <c r="C140" s="71" t="s">
        <v>183</v>
      </c>
      <c r="D140" s="172"/>
      <c r="E140" s="166"/>
      <c r="F140" s="181"/>
      <c r="G140" s="171"/>
      <c r="H140" s="171"/>
      <c r="I140" s="182"/>
    </row>
    <row r="141" spans="1:9" ht="18" customHeight="1" x14ac:dyDescent="0.25">
      <c r="A141" s="170"/>
      <c r="B141" s="171"/>
      <c r="C141" s="71" t="s">
        <v>184</v>
      </c>
      <c r="D141" s="172"/>
      <c r="E141" s="166"/>
      <c r="F141" s="181"/>
      <c r="G141" s="171"/>
      <c r="H141" s="171"/>
      <c r="I141" s="182"/>
    </row>
    <row r="142" spans="1:9" ht="18" customHeight="1" x14ac:dyDescent="0.25">
      <c r="A142" s="170"/>
      <c r="B142" s="171"/>
      <c r="C142" s="71" t="s">
        <v>185</v>
      </c>
      <c r="D142" s="172"/>
      <c r="E142" s="166"/>
      <c r="F142" s="181"/>
      <c r="G142" s="171"/>
      <c r="H142" s="171"/>
      <c r="I142" s="182"/>
    </row>
    <row r="143" spans="1:9" ht="25.5" customHeight="1" x14ac:dyDescent="0.25">
      <c r="A143" s="170"/>
      <c r="B143" s="171"/>
      <c r="C143" s="72" t="s">
        <v>186</v>
      </c>
      <c r="D143" s="173"/>
      <c r="E143" s="167"/>
      <c r="F143" s="181"/>
      <c r="G143" s="171"/>
      <c r="H143" s="171"/>
      <c r="I143" s="182"/>
    </row>
    <row r="144" spans="1:9" ht="18" customHeight="1" x14ac:dyDescent="0.25">
      <c r="A144" s="186">
        <v>38</v>
      </c>
      <c r="B144" s="187" t="s">
        <v>137</v>
      </c>
      <c r="C144" s="32" t="s">
        <v>26</v>
      </c>
      <c r="D144" s="174">
        <f>E144/H7</f>
        <v>3.7383177570093455E-2</v>
      </c>
      <c r="E144" s="177">
        <v>200</v>
      </c>
      <c r="F144" s="110">
        <v>5</v>
      </c>
      <c r="G144" s="112" t="s">
        <v>6</v>
      </c>
      <c r="H144" s="112" t="s">
        <v>139</v>
      </c>
      <c r="I144" s="164" t="s">
        <v>140</v>
      </c>
    </row>
    <row r="145" spans="1:9" ht="18" customHeight="1" x14ac:dyDescent="0.25">
      <c r="A145" s="186"/>
      <c r="B145" s="187"/>
      <c r="C145" s="17" t="s">
        <v>181</v>
      </c>
      <c r="D145" s="175"/>
      <c r="E145" s="177"/>
      <c r="F145" s="110"/>
      <c r="G145" s="112"/>
      <c r="H145" s="112"/>
      <c r="I145" s="164"/>
    </row>
    <row r="146" spans="1:9" ht="18" customHeight="1" x14ac:dyDescent="0.25">
      <c r="A146" s="186"/>
      <c r="B146" s="187"/>
      <c r="C146" s="27" t="s">
        <v>182</v>
      </c>
      <c r="D146" s="175"/>
      <c r="E146" s="177"/>
      <c r="F146" s="110"/>
      <c r="G146" s="112"/>
      <c r="H146" s="112"/>
      <c r="I146" s="164"/>
    </row>
    <row r="147" spans="1:9" ht="18" customHeight="1" x14ac:dyDescent="0.25">
      <c r="A147" s="186"/>
      <c r="B147" s="187"/>
      <c r="C147" s="27" t="s">
        <v>179</v>
      </c>
      <c r="D147" s="175"/>
      <c r="E147" s="177"/>
      <c r="F147" s="110"/>
      <c r="G147" s="112"/>
      <c r="H147" s="112"/>
      <c r="I147" s="164"/>
    </row>
    <row r="148" spans="1:9" ht="18" customHeight="1" x14ac:dyDescent="0.25">
      <c r="A148" s="186"/>
      <c r="B148" s="187"/>
      <c r="C148" s="27" t="s">
        <v>180</v>
      </c>
      <c r="D148" s="175"/>
      <c r="E148" s="177"/>
      <c r="F148" s="110"/>
      <c r="G148" s="112"/>
      <c r="H148" s="112"/>
      <c r="I148" s="164"/>
    </row>
    <row r="149" spans="1:9" ht="18" customHeight="1" x14ac:dyDescent="0.25">
      <c r="A149" s="186"/>
      <c r="B149" s="187"/>
      <c r="C149" s="27" t="s">
        <v>142</v>
      </c>
      <c r="D149" s="175"/>
      <c r="E149" s="177"/>
      <c r="F149" s="110"/>
      <c r="G149" s="112"/>
      <c r="H149" s="112"/>
      <c r="I149" s="164"/>
    </row>
    <row r="150" spans="1:9" ht="18" customHeight="1" x14ac:dyDescent="0.25">
      <c r="A150" s="186"/>
      <c r="B150" s="187"/>
      <c r="C150" s="27" t="s">
        <v>183</v>
      </c>
      <c r="D150" s="175"/>
      <c r="E150" s="177"/>
      <c r="F150" s="110"/>
      <c r="G150" s="112"/>
      <c r="H150" s="112"/>
      <c r="I150" s="164"/>
    </row>
    <row r="151" spans="1:9" ht="18" customHeight="1" x14ac:dyDescent="0.25">
      <c r="A151" s="186"/>
      <c r="B151" s="187"/>
      <c r="C151" s="27" t="s">
        <v>135</v>
      </c>
      <c r="D151" s="175"/>
      <c r="E151" s="177"/>
      <c r="F151" s="110"/>
      <c r="G151" s="112"/>
      <c r="H151" s="112"/>
      <c r="I151" s="164"/>
    </row>
    <row r="152" spans="1:9" ht="18" customHeight="1" x14ac:dyDescent="0.25">
      <c r="A152" s="186"/>
      <c r="B152" s="187"/>
      <c r="C152" s="27" t="s">
        <v>136</v>
      </c>
      <c r="D152" s="175"/>
      <c r="E152" s="177"/>
      <c r="F152" s="110"/>
      <c r="G152" s="112"/>
      <c r="H152" s="112"/>
      <c r="I152" s="164"/>
    </row>
    <row r="153" spans="1:9" ht="24" customHeight="1" x14ac:dyDescent="0.25">
      <c r="A153" s="186"/>
      <c r="B153" s="187"/>
      <c r="C153" s="28" t="s">
        <v>138</v>
      </c>
      <c r="D153" s="176"/>
      <c r="E153" s="177"/>
      <c r="F153" s="110"/>
      <c r="G153" s="112"/>
      <c r="H153" s="112"/>
      <c r="I153" s="164"/>
    </row>
    <row r="154" spans="1:9" ht="27.75" customHeight="1" x14ac:dyDescent="0.25">
      <c r="A154" s="98">
        <v>39</v>
      </c>
      <c r="B154" s="82" t="s">
        <v>154</v>
      </c>
      <c r="C154" s="83" t="s">
        <v>155</v>
      </c>
      <c r="D154" s="99">
        <f>E154/H7</f>
        <v>5.6074766355140183E-3</v>
      </c>
      <c r="E154" s="100">
        <v>30</v>
      </c>
      <c r="F154" s="86">
        <v>1</v>
      </c>
      <c r="G154" s="87" t="s">
        <v>54</v>
      </c>
      <c r="H154" s="87" t="s">
        <v>54</v>
      </c>
      <c r="I154" s="88" t="s">
        <v>54</v>
      </c>
    </row>
    <row r="155" spans="1:9" ht="27" customHeight="1" x14ac:dyDescent="0.25">
      <c r="A155" s="57">
        <v>40</v>
      </c>
      <c r="B155" s="36" t="s">
        <v>150</v>
      </c>
      <c r="C155" s="17" t="s">
        <v>151</v>
      </c>
      <c r="D155" s="33">
        <f>E155/H7</f>
        <v>3.7383177570093459E-3</v>
      </c>
      <c r="E155" s="67">
        <v>20</v>
      </c>
      <c r="F155" s="60">
        <v>1</v>
      </c>
      <c r="G155" s="53" t="s">
        <v>54</v>
      </c>
      <c r="H155" s="53" t="s">
        <v>54</v>
      </c>
      <c r="I155" s="55" t="s">
        <v>54</v>
      </c>
    </row>
    <row r="156" spans="1:9" ht="25.5" customHeight="1" x14ac:dyDescent="0.25">
      <c r="A156" s="98">
        <v>41</v>
      </c>
      <c r="B156" s="82" t="s">
        <v>152</v>
      </c>
      <c r="C156" s="83" t="s">
        <v>153</v>
      </c>
      <c r="D156" s="99">
        <f>E156/H7</f>
        <v>5.6074766355140183E-3</v>
      </c>
      <c r="E156" s="100">
        <v>30</v>
      </c>
      <c r="F156" s="86">
        <v>1</v>
      </c>
      <c r="G156" s="87" t="s">
        <v>54</v>
      </c>
      <c r="H156" s="87" t="s">
        <v>54</v>
      </c>
      <c r="I156" s="88" t="s">
        <v>54</v>
      </c>
    </row>
    <row r="157" spans="1:9" ht="17.25" customHeight="1" x14ac:dyDescent="0.25">
      <c r="A157" s="156">
        <v>42</v>
      </c>
      <c r="B157" s="261" t="s">
        <v>143</v>
      </c>
      <c r="C157" s="32" t="s">
        <v>26</v>
      </c>
      <c r="D157" s="262">
        <f>E157/H7</f>
        <v>2.8037383177570093E-2</v>
      </c>
      <c r="E157" s="168">
        <v>150</v>
      </c>
      <c r="F157" s="110">
        <v>45</v>
      </c>
      <c r="G157" s="112" t="s">
        <v>6</v>
      </c>
      <c r="H157" s="112" t="s">
        <v>144</v>
      </c>
      <c r="I157" s="164" t="s">
        <v>14</v>
      </c>
    </row>
    <row r="158" spans="1:9" ht="17.25" customHeight="1" x14ac:dyDescent="0.25">
      <c r="A158" s="156"/>
      <c r="B158" s="261"/>
      <c r="C158" s="17" t="s">
        <v>72</v>
      </c>
      <c r="D158" s="262"/>
      <c r="E158" s="168"/>
      <c r="F158" s="110"/>
      <c r="G158" s="112"/>
      <c r="H158" s="112"/>
      <c r="I158" s="164"/>
    </row>
    <row r="159" spans="1:9" ht="23.25" customHeight="1" x14ac:dyDescent="0.25">
      <c r="A159" s="156"/>
      <c r="B159" s="261"/>
      <c r="C159" s="27" t="s">
        <v>141</v>
      </c>
      <c r="D159" s="262"/>
      <c r="E159" s="168"/>
      <c r="F159" s="110"/>
      <c r="G159" s="112"/>
      <c r="H159" s="112"/>
      <c r="I159" s="164"/>
    </row>
    <row r="160" spans="1:9" ht="23.25" customHeight="1" x14ac:dyDescent="0.25">
      <c r="A160" s="156"/>
      <c r="B160" s="261"/>
      <c r="C160" s="27" t="s">
        <v>227</v>
      </c>
      <c r="D160" s="262"/>
      <c r="E160" s="168"/>
      <c r="F160" s="110"/>
      <c r="G160" s="112"/>
      <c r="H160" s="112"/>
      <c r="I160" s="164"/>
    </row>
    <row r="161" spans="1:9" ht="23.25" customHeight="1" x14ac:dyDescent="0.25">
      <c r="A161" s="156"/>
      <c r="B161" s="261"/>
      <c r="C161" s="27" t="s">
        <v>228</v>
      </c>
      <c r="D161" s="262"/>
      <c r="E161" s="168"/>
      <c r="F161" s="110"/>
      <c r="G161" s="112"/>
      <c r="H161" s="112"/>
      <c r="I161" s="164"/>
    </row>
    <row r="162" spans="1:9" ht="23.25" customHeight="1" x14ac:dyDescent="0.25">
      <c r="A162" s="156"/>
      <c r="B162" s="261"/>
      <c r="C162" s="27" t="s">
        <v>240</v>
      </c>
      <c r="D162" s="262"/>
      <c r="E162" s="168"/>
      <c r="F162" s="110"/>
      <c r="G162" s="112"/>
      <c r="H162" s="112"/>
      <c r="I162" s="164"/>
    </row>
    <row r="163" spans="1:9" ht="23.25" customHeight="1" x14ac:dyDescent="0.25">
      <c r="A163" s="156"/>
      <c r="B163" s="261"/>
      <c r="C163" s="27" t="s">
        <v>241</v>
      </c>
      <c r="D163" s="262"/>
      <c r="E163" s="168"/>
      <c r="F163" s="110"/>
      <c r="G163" s="112"/>
      <c r="H163" s="112"/>
      <c r="I163" s="164"/>
    </row>
    <row r="164" spans="1:9" ht="23.25" customHeight="1" x14ac:dyDescent="0.25">
      <c r="A164" s="156"/>
      <c r="B164" s="261"/>
      <c r="C164" s="27" t="s">
        <v>242</v>
      </c>
      <c r="D164" s="262"/>
      <c r="E164" s="168"/>
      <c r="F164" s="110"/>
      <c r="G164" s="112"/>
      <c r="H164" s="112"/>
      <c r="I164" s="164"/>
    </row>
    <row r="165" spans="1:9" ht="24.75" customHeight="1" x14ac:dyDescent="0.25">
      <c r="A165" s="156"/>
      <c r="B165" s="261"/>
      <c r="C165" s="27" t="s">
        <v>226</v>
      </c>
      <c r="D165" s="262"/>
      <c r="E165" s="168"/>
      <c r="F165" s="110"/>
      <c r="G165" s="112"/>
      <c r="H165" s="112"/>
      <c r="I165" s="164"/>
    </row>
    <row r="166" spans="1:9" ht="22.5" x14ac:dyDescent="0.25">
      <c r="A166" s="156"/>
      <c r="B166" s="261"/>
      <c r="C166" s="27" t="s">
        <v>187</v>
      </c>
      <c r="D166" s="262"/>
      <c r="E166" s="168"/>
      <c r="F166" s="110"/>
      <c r="G166" s="112"/>
      <c r="H166" s="112"/>
      <c r="I166" s="164"/>
    </row>
    <row r="167" spans="1:9" ht="16.5" customHeight="1" x14ac:dyDescent="0.25">
      <c r="A167" s="156"/>
      <c r="B167" s="261"/>
      <c r="C167" s="27" t="s">
        <v>188</v>
      </c>
      <c r="D167" s="262"/>
      <c r="E167" s="168"/>
      <c r="F167" s="110"/>
      <c r="G167" s="112"/>
      <c r="H167" s="112"/>
      <c r="I167" s="164"/>
    </row>
    <row r="168" spans="1:9" ht="16.5" customHeight="1" x14ac:dyDescent="0.25">
      <c r="A168" s="156"/>
      <c r="B168" s="261"/>
      <c r="C168" s="27" t="s">
        <v>189</v>
      </c>
      <c r="D168" s="262"/>
      <c r="E168" s="168"/>
      <c r="F168" s="110"/>
      <c r="G168" s="112"/>
      <c r="H168" s="112"/>
      <c r="I168" s="164"/>
    </row>
    <row r="169" spans="1:9" ht="16.5" customHeight="1" x14ac:dyDescent="0.25">
      <c r="A169" s="156"/>
      <c r="B169" s="261"/>
      <c r="C169" s="27" t="s">
        <v>190</v>
      </c>
      <c r="D169" s="262"/>
      <c r="E169" s="168"/>
      <c r="F169" s="110"/>
      <c r="G169" s="112"/>
      <c r="H169" s="112"/>
      <c r="I169" s="164"/>
    </row>
    <row r="170" spans="1:9" ht="33.75" x14ac:dyDescent="0.25">
      <c r="A170" s="156"/>
      <c r="B170" s="261"/>
      <c r="C170" s="27" t="s">
        <v>191</v>
      </c>
      <c r="D170" s="262"/>
      <c r="E170" s="168"/>
      <c r="F170" s="110"/>
      <c r="G170" s="112"/>
      <c r="H170" s="112"/>
      <c r="I170" s="164"/>
    </row>
    <row r="171" spans="1:9" ht="33.75" x14ac:dyDescent="0.25">
      <c r="A171" s="156"/>
      <c r="B171" s="261"/>
      <c r="C171" s="27" t="s">
        <v>200</v>
      </c>
      <c r="D171" s="262"/>
      <c r="E171" s="168"/>
      <c r="F171" s="110"/>
      <c r="G171" s="112"/>
      <c r="H171" s="112"/>
      <c r="I171" s="164"/>
    </row>
    <row r="172" spans="1:9" x14ac:dyDescent="0.25">
      <c r="A172" s="170">
        <v>43</v>
      </c>
      <c r="B172" s="171" t="s">
        <v>24</v>
      </c>
      <c r="C172" s="96" t="s">
        <v>26</v>
      </c>
      <c r="D172" s="179">
        <f>E172/H7</f>
        <v>4.6728971962616821E-2</v>
      </c>
      <c r="E172" s="244">
        <v>250</v>
      </c>
      <c r="F172" s="181">
        <v>45</v>
      </c>
      <c r="G172" s="171" t="s">
        <v>6</v>
      </c>
      <c r="H172" s="171" t="s">
        <v>144</v>
      </c>
      <c r="I172" s="182" t="s">
        <v>14</v>
      </c>
    </row>
    <row r="173" spans="1:9" x14ac:dyDescent="0.25">
      <c r="A173" s="170"/>
      <c r="B173" s="171"/>
      <c r="C173" s="71" t="s">
        <v>145</v>
      </c>
      <c r="D173" s="179"/>
      <c r="E173" s="244"/>
      <c r="F173" s="181"/>
      <c r="G173" s="171"/>
      <c r="H173" s="171"/>
      <c r="I173" s="182"/>
    </row>
    <row r="174" spans="1:9" ht="22.5" x14ac:dyDescent="0.25">
      <c r="A174" s="170"/>
      <c r="B174" s="171"/>
      <c r="C174" s="71" t="s">
        <v>192</v>
      </c>
      <c r="D174" s="179"/>
      <c r="E174" s="244"/>
      <c r="F174" s="181"/>
      <c r="G174" s="171"/>
      <c r="H174" s="171"/>
      <c r="I174" s="182"/>
    </row>
    <row r="175" spans="1:9" ht="22.5" x14ac:dyDescent="0.25">
      <c r="A175" s="170"/>
      <c r="B175" s="171"/>
      <c r="C175" s="71" t="s">
        <v>146</v>
      </c>
      <c r="D175" s="179"/>
      <c r="E175" s="244"/>
      <c r="F175" s="181"/>
      <c r="G175" s="171"/>
      <c r="H175" s="171"/>
      <c r="I175" s="182"/>
    </row>
    <row r="176" spans="1:9" ht="22.5" x14ac:dyDescent="0.25">
      <c r="A176" s="170"/>
      <c r="B176" s="171"/>
      <c r="C176" s="71" t="s">
        <v>147</v>
      </c>
      <c r="D176" s="179"/>
      <c r="E176" s="244"/>
      <c r="F176" s="181"/>
      <c r="G176" s="171"/>
      <c r="H176" s="171"/>
      <c r="I176" s="182"/>
    </row>
    <row r="177" spans="1:9" x14ac:dyDescent="0.25">
      <c r="A177" s="170"/>
      <c r="B177" s="171"/>
      <c r="C177" s="71" t="s">
        <v>148</v>
      </c>
      <c r="D177" s="179"/>
      <c r="E177" s="244"/>
      <c r="F177" s="181"/>
      <c r="G177" s="171"/>
      <c r="H177" s="171"/>
      <c r="I177" s="182"/>
    </row>
    <row r="178" spans="1:9" ht="15.75" thickBot="1" x14ac:dyDescent="0.3">
      <c r="A178" s="188"/>
      <c r="B178" s="189"/>
      <c r="C178" s="73" t="s">
        <v>149</v>
      </c>
      <c r="D178" s="190"/>
      <c r="E178" s="245"/>
      <c r="F178" s="192"/>
      <c r="G178" s="189"/>
      <c r="H178" s="189"/>
      <c r="I178" s="193"/>
    </row>
    <row r="179" spans="1:9" x14ac:dyDescent="0.25">
      <c r="A179" s="246" t="s">
        <v>156</v>
      </c>
      <c r="B179" s="247"/>
      <c r="C179" s="247"/>
      <c r="D179" s="247"/>
      <c r="E179" s="247"/>
      <c r="F179" s="247"/>
      <c r="G179" s="247"/>
      <c r="H179" s="247"/>
      <c r="I179" s="248"/>
    </row>
    <row r="180" spans="1:9" ht="15.75" customHeight="1" x14ac:dyDescent="0.25">
      <c r="A180" s="110">
        <v>44</v>
      </c>
      <c r="B180" s="112" t="s">
        <v>159</v>
      </c>
      <c r="C180" s="29" t="s">
        <v>26</v>
      </c>
      <c r="D180" s="250">
        <f>E180/H7</f>
        <v>1.869158878504673E-3</v>
      </c>
      <c r="E180" s="161">
        <v>10</v>
      </c>
      <c r="F180" s="112">
        <v>1</v>
      </c>
      <c r="G180" s="112" t="s">
        <v>157</v>
      </c>
      <c r="H180" s="112" t="s">
        <v>11</v>
      </c>
      <c r="I180" s="112" t="s">
        <v>5</v>
      </c>
    </row>
    <row r="181" spans="1:9" x14ac:dyDescent="0.25">
      <c r="A181" s="110"/>
      <c r="B181" s="112"/>
      <c r="C181" s="29" t="s">
        <v>158</v>
      </c>
      <c r="D181" s="250"/>
      <c r="E181" s="161"/>
      <c r="F181" s="112"/>
      <c r="G181" s="112"/>
      <c r="H181" s="112"/>
      <c r="I181" s="112"/>
    </row>
    <row r="182" spans="1:9" ht="14.45" customHeight="1" x14ac:dyDescent="0.25">
      <c r="A182" s="181">
        <v>45</v>
      </c>
      <c r="B182" s="171" t="s">
        <v>160</v>
      </c>
      <c r="C182" s="83" t="s">
        <v>26</v>
      </c>
      <c r="D182" s="249">
        <f>E182/H7</f>
        <v>9.3457943925233649E-4</v>
      </c>
      <c r="E182" s="180">
        <v>5</v>
      </c>
      <c r="F182" s="171">
        <v>1</v>
      </c>
      <c r="G182" s="171" t="s">
        <v>157</v>
      </c>
      <c r="H182" s="171" t="s">
        <v>11</v>
      </c>
      <c r="I182" s="171" t="s">
        <v>54</v>
      </c>
    </row>
    <row r="183" spans="1:9" x14ac:dyDescent="0.25">
      <c r="A183" s="181"/>
      <c r="B183" s="171"/>
      <c r="C183" s="83" t="s">
        <v>161</v>
      </c>
      <c r="D183" s="249"/>
      <c r="E183" s="180"/>
      <c r="F183" s="171"/>
      <c r="G183" s="171"/>
      <c r="H183" s="171"/>
      <c r="I183" s="171"/>
    </row>
    <row r="184" spans="1:9" ht="15.75" customHeight="1" x14ac:dyDescent="0.25">
      <c r="A184" s="110">
        <v>46</v>
      </c>
      <c r="B184" s="112" t="s">
        <v>201</v>
      </c>
      <c r="C184" s="29" t="s">
        <v>202</v>
      </c>
      <c r="D184" s="64">
        <f>E184/H7</f>
        <v>9.3457943925233638E-3</v>
      </c>
      <c r="E184" s="65">
        <v>50</v>
      </c>
      <c r="F184" s="110"/>
      <c r="G184" s="112" t="s">
        <v>215</v>
      </c>
      <c r="H184" s="112" t="s">
        <v>11</v>
      </c>
      <c r="I184" s="112" t="s">
        <v>11</v>
      </c>
    </row>
    <row r="185" spans="1:9" ht="15.75" customHeight="1" x14ac:dyDescent="0.25">
      <c r="A185" s="110"/>
      <c r="B185" s="112"/>
      <c r="C185" s="29" t="s">
        <v>203</v>
      </c>
      <c r="D185" s="64">
        <f>E185/H7</f>
        <v>1.1214953271028037E-2</v>
      </c>
      <c r="E185" s="65">
        <v>60</v>
      </c>
      <c r="F185" s="110"/>
      <c r="G185" s="112"/>
      <c r="H185" s="112"/>
      <c r="I185" s="112"/>
    </row>
    <row r="186" spans="1:9" ht="15.75" customHeight="1" x14ac:dyDescent="0.25">
      <c r="A186" s="110"/>
      <c r="B186" s="112"/>
      <c r="C186" s="29" t="s">
        <v>204</v>
      </c>
      <c r="D186" s="64">
        <f>E186/H7</f>
        <v>1.3084112149532711E-2</v>
      </c>
      <c r="E186" s="65">
        <v>70</v>
      </c>
      <c r="F186" s="110"/>
      <c r="G186" s="112"/>
      <c r="H186" s="112"/>
      <c r="I186" s="112"/>
    </row>
    <row r="187" spans="1:9" ht="15.75" customHeight="1" x14ac:dyDescent="0.25">
      <c r="A187" s="181">
        <v>47</v>
      </c>
      <c r="B187" s="171" t="s">
        <v>205</v>
      </c>
      <c r="C187" s="83" t="s">
        <v>202</v>
      </c>
      <c r="D187" s="101">
        <f>E187/H7</f>
        <v>1.4953271028037384E-2</v>
      </c>
      <c r="E187" s="102">
        <v>80</v>
      </c>
      <c r="F187" s="181"/>
      <c r="G187" s="171" t="s">
        <v>215</v>
      </c>
      <c r="H187" s="171" t="s">
        <v>11</v>
      </c>
      <c r="I187" s="171" t="s">
        <v>11</v>
      </c>
    </row>
    <row r="188" spans="1:9" ht="15.75" customHeight="1" x14ac:dyDescent="0.25">
      <c r="A188" s="181"/>
      <c r="B188" s="171"/>
      <c r="C188" s="83" t="s">
        <v>203</v>
      </c>
      <c r="D188" s="101">
        <f>E188/H7</f>
        <v>1.6822429906542057E-2</v>
      </c>
      <c r="E188" s="102">
        <v>90</v>
      </c>
      <c r="F188" s="181"/>
      <c r="G188" s="171"/>
      <c r="H188" s="171"/>
      <c r="I188" s="171"/>
    </row>
    <row r="189" spans="1:9" ht="15.75" customHeight="1" x14ac:dyDescent="0.25">
      <c r="A189" s="181"/>
      <c r="B189" s="171"/>
      <c r="C189" s="83" t="s">
        <v>204</v>
      </c>
      <c r="D189" s="101">
        <f>E189/H7</f>
        <v>1.8691588785046728E-2</v>
      </c>
      <c r="E189" s="102">
        <v>100</v>
      </c>
      <c r="F189" s="181"/>
      <c r="G189" s="171"/>
      <c r="H189" s="171"/>
      <c r="I189" s="171"/>
    </row>
    <row r="190" spans="1:9" ht="15.75" customHeight="1" x14ac:dyDescent="0.25">
      <c r="A190" s="123">
        <v>48</v>
      </c>
      <c r="B190" s="112" t="s">
        <v>206</v>
      </c>
      <c r="C190" s="266" t="s">
        <v>207</v>
      </c>
      <c r="D190" s="250"/>
      <c r="E190" s="161">
        <v>500</v>
      </c>
      <c r="F190" s="110"/>
      <c r="G190" s="112" t="s">
        <v>215</v>
      </c>
      <c r="H190" s="112" t="s">
        <v>11</v>
      </c>
      <c r="I190" s="112" t="s">
        <v>11</v>
      </c>
    </row>
    <row r="191" spans="1:9" ht="15.75" customHeight="1" x14ac:dyDescent="0.25">
      <c r="A191" s="154"/>
      <c r="B191" s="113"/>
      <c r="C191" s="267"/>
      <c r="D191" s="268"/>
      <c r="E191" s="132"/>
      <c r="F191" s="111"/>
      <c r="G191" s="113"/>
      <c r="H191" s="113"/>
      <c r="I191" s="113"/>
    </row>
    <row r="192" spans="1:9" ht="15.75" customHeight="1" x14ac:dyDescent="0.25">
      <c r="A192" s="110">
        <v>49</v>
      </c>
      <c r="B192" s="263" t="s">
        <v>243</v>
      </c>
      <c r="C192" s="109" t="s">
        <v>244</v>
      </c>
      <c r="D192" s="250">
        <f>E192/H7</f>
        <v>9.3457943925233649E-4</v>
      </c>
      <c r="E192" s="161">
        <v>5</v>
      </c>
      <c r="F192" s="110"/>
      <c r="G192" s="112" t="s">
        <v>246</v>
      </c>
      <c r="H192" s="112" t="s">
        <v>11</v>
      </c>
      <c r="I192" s="112" t="s">
        <v>247</v>
      </c>
    </row>
    <row r="193" spans="1:9" ht="19.5" customHeight="1" x14ac:dyDescent="0.25">
      <c r="A193" s="110"/>
      <c r="B193" s="263"/>
      <c r="C193" s="109" t="s">
        <v>245</v>
      </c>
      <c r="D193" s="250"/>
      <c r="E193" s="161"/>
      <c r="F193" s="110"/>
      <c r="G193" s="112"/>
      <c r="H193" s="112"/>
      <c r="I193" s="112"/>
    </row>
    <row r="194" spans="1:9" ht="15.75" customHeight="1" x14ac:dyDescent="0.25">
      <c r="A194" s="150">
        <v>50</v>
      </c>
      <c r="B194" s="149" t="s">
        <v>208</v>
      </c>
      <c r="C194" s="103" t="s">
        <v>209</v>
      </c>
      <c r="D194" s="264">
        <f>E194/H7</f>
        <v>2.8037383177570093E-2</v>
      </c>
      <c r="E194" s="152">
        <v>150</v>
      </c>
      <c r="F194" s="154">
        <v>5</v>
      </c>
      <c r="G194" s="137" t="s">
        <v>157</v>
      </c>
      <c r="H194" s="149" t="s">
        <v>11</v>
      </c>
      <c r="I194" s="155" t="s">
        <v>14</v>
      </c>
    </row>
    <row r="195" spans="1:9" ht="15.75" customHeight="1" x14ac:dyDescent="0.25">
      <c r="A195" s="142"/>
      <c r="B195" s="137"/>
      <c r="C195" s="103" t="s">
        <v>15</v>
      </c>
      <c r="D195" s="265"/>
      <c r="E195" s="153"/>
      <c r="F195" s="138"/>
      <c r="G195" s="171"/>
      <c r="H195" s="137"/>
      <c r="I195" s="136"/>
    </row>
    <row r="196" spans="1:9" ht="15.75" customHeight="1" x14ac:dyDescent="0.25">
      <c r="A196" s="129">
        <v>50</v>
      </c>
      <c r="B196" s="113" t="s">
        <v>210</v>
      </c>
      <c r="C196" s="18" t="s">
        <v>209</v>
      </c>
      <c r="D196" s="268">
        <f>E196/H7</f>
        <v>3.7383177570093459E-3</v>
      </c>
      <c r="E196" s="132">
        <v>20</v>
      </c>
      <c r="F196" s="111">
        <v>5</v>
      </c>
      <c r="G196" s="214" t="s">
        <v>157</v>
      </c>
      <c r="H196" s="113" t="s">
        <v>11</v>
      </c>
      <c r="I196" s="127" t="s">
        <v>11</v>
      </c>
    </row>
    <row r="197" spans="1:9" ht="15.75" customHeight="1" x14ac:dyDescent="0.25">
      <c r="A197" s="216"/>
      <c r="B197" s="214"/>
      <c r="C197" s="18" t="s">
        <v>211</v>
      </c>
      <c r="D197" s="270"/>
      <c r="E197" s="269"/>
      <c r="F197" s="275"/>
      <c r="G197" s="214"/>
      <c r="H197" s="214"/>
      <c r="I197" s="276"/>
    </row>
    <row r="198" spans="1:9" ht="15.75" customHeight="1" x14ac:dyDescent="0.25">
      <c r="A198" s="130"/>
      <c r="B198" s="131"/>
      <c r="C198" s="18" t="s">
        <v>212</v>
      </c>
      <c r="D198" s="271"/>
      <c r="E198" s="134"/>
      <c r="F198" s="135"/>
      <c r="G198" s="131"/>
      <c r="H198" s="131"/>
      <c r="I198" s="128"/>
    </row>
    <row r="199" spans="1:9" ht="21" customHeight="1" x14ac:dyDescent="0.25">
      <c r="A199" s="115">
        <v>51</v>
      </c>
      <c r="B199" s="117" t="s">
        <v>213</v>
      </c>
      <c r="C199" s="76" t="s">
        <v>209</v>
      </c>
      <c r="D199" s="272">
        <f>E199/H7</f>
        <v>1.869158878504673E-3</v>
      </c>
      <c r="E199" s="121">
        <v>10</v>
      </c>
      <c r="F199" s="123">
        <v>5</v>
      </c>
      <c r="G199" s="117" t="s">
        <v>157</v>
      </c>
      <c r="H199" s="117" t="s">
        <v>11</v>
      </c>
      <c r="I199" s="125" t="s">
        <v>14</v>
      </c>
    </row>
    <row r="200" spans="1:9" ht="15.75" customHeight="1" x14ac:dyDescent="0.25">
      <c r="A200" s="142"/>
      <c r="B200" s="137"/>
      <c r="C200" s="76" t="s">
        <v>214</v>
      </c>
      <c r="D200" s="273"/>
      <c r="E200" s="153"/>
      <c r="F200" s="138"/>
      <c r="G200" s="137"/>
      <c r="H200" s="137"/>
      <c r="I200" s="136"/>
    </row>
    <row r="201" spans="1:9" x14ac:dyDescent="0.25">
      <c r="A201" s="129">
        <v>52</v>
      </c>
      <c r="B201" s="113" t="s">
        <v>162</v>
      </c>
      <c r="C201" s="32" t="s">
        <v>163</v>
      </c>
      <c r="D201" s="48">
        <f>E201/H7</f>
        <v>3.738317757009346E-5</v>
      </c>
      <c r="E201" s="65">
        <v>0.2</v>
      </c>
      <c r="F201" s="51">
        <v>1</v>
      </c>
      <c r="G201" s="113" t="s">
        <v>157</v>
      </c>
      <c r="H201" s="113" t="s">
        <v>157</v>
      </c>
      <c r="I201" s="127" t="s">
        <v>157</v>
      </c>
    </row>
    <row r="202" spans="1:9" ht="15.75" customHeight="1" thickBot="1" x14ac:dyDescent="0.3">
      <c r="A202" s="217"/>
      <c r="B202" s="215"/>
      <c r="C202" s="44" t="s">
        <v>164</v>
      </c>
      <c r="D202" s="49">
        <f>E202/H7</f>
        <v>5.6074766355140187E-5</v>
      </c>
      <c r="E202" s="66">
        <v>0.3</v>
      </c>
      <c r="F202" s="61">
        <v>1</v>
      </c>
      <c r="G202" s="215"/>
      <c r="H202" s="215"/>
      <c r="I202" s="274"/>
    </row>
    <row r="203" spans="1:9" ht="15.75" thickBot="1" x14ac:dyDescent="0.3">
      <c r="A203" s="146" t="s">
        <v>32</v>
      </c>
      <c r="B203" s="147"/>
      <c r="C203" s="147"/>
      <c r="D203" s="147"/>
      <c r="E203" s="147"/>
      <c r="F203" s="147"/>
      <c r="G203" s="147"/>
      <c r="H203" s="147"/>
      <c r="I203" s="148"/>
    </row>
    <row r="204" spans="1:9" ht="18" customHeight="1" x14ac:dyDescent="0.25">
      <c r="A204" s="150">
        <v>53</v>
      </c>
      <c r="B204" s="149" t="s">
        <v>167</v>
      </c>
      <c r="C204" s="104" t="s">
        <v>28</v>
      </c>
      <c r="D204" s="151">
        <f>E204/H7</f>
        <v>4.6728971962616819E-3</v>
      </c>
      <c r="E204" s="152">
        <v>25</v>
      </c>
      <c r="F204" s="154">
        <v>1</v>
      </c>
      <c r="G204" s="149" t="s">
        <v>6</v>
      </c>
      <c r="H204" s="149" t="s">
        <v>13</v>
      </c>
      <c r="I204" s="155" t="s">
        <v>11</v>
      </c>
    </row>
    <row r="205" spans="1:9" ht="29.25" customHeight="1" x14ac:dyDescent="0.25">
      <c r="A205" s="142"/>
      <c r="B205" s="137"/>
      <c r="C205" s="76" t="s">
        <v>168</v>
      </c>
      <c r="D205" s="141"/>
      <c r="E205" s="153"/>
      <c r="F205" s="138"/>
      <c r="G205" s="137"/>
      <c r="H205" s="137"/>
      <c r="I205" s="136"/>
    </row>
    <row r="206" spans="1:9" ht="18" customHeight="1" x14ac:dyDescent="0.25">
      <c r="A206" s="129">
        <v>54</v>
      </c>
      <c r="B206" s="113" t="s">
        <v>169</v>
      </c>
      <c r="C206" s="34" t="s">
        <v>28</v>
      </c>
      <c r="D206" s="143">
        <f>E206/H7</f>
        <v>1.8691588785046728E-2</v>
      </c>
      <c r="E206" s="144">
        <v>100</v>
      </c>
      <c r="F206" s="111">
        <v>1</v>
      </c>
      <c r="G206" s="113" t="s">
        <v>6</v>
      </c>
      <c r="H206" s="113" t="s">
        <v>13</v>
      </c>
      <c r="I206" s="127" t="s">
        <v>11</v>
      </c>
    </row>
    <row r="207" spans="1:9" ht="18" customHeight="1" x14ac:dyDescent="0.25">
      <c r="A207" s="130"/>
      <c r="B207" s="131"/>
      <c r="C207" s="18" t="s">
        <v>170</v>
      </c>
      <c r="D207" s="133"/>
      <c r="E207" s="145"/>
      <c r="F207" s="135"/>
      <c r="G207" s="131"/>
      <c r="H207" s="131"/>
      <c r="I207" s="128"/>
    </row>
    <row r="208" spans="1:9" ht="18" customHeight="1" x14ac:dyDescent="0.25">
      <c r="A208" s="115">
        <v>55</v>
      </c>
      <c r="B208" s="117" t="s">
        <v>172</v>
      </c>
      <c r="C208" s="105" t="s">
        <v>28</v>
      </c>
      <c r="D208" s="119">
        <f>E208/H7</f>
        <v>1.8691588785046728E-2</v>
      </c>
      <c r="E208" s="139">
        <v>100</v>
      </c>
      <c r="F208" s="123">
        <v>1</v>
      </c>
      <c r="G208" s="117" t="s">
        <v>6</v>
      </c>
      <c r="H208" s="117" t="s">
        <v>13</v>
      </c>
      <c r="I208" s="125" t="s">
        <v>11</v>
      </c>
    </row>
    <row r="209" spans="1:9" ht="28.5" customHeight="1" x14ac:dyDescent="0.25">
      <c r="A209" s="142"/>
      <c r="B209" s="137"/>
      <c r="C209" s="76" t="s">
        <v>171</v>
      </c>
      <c r="D209" s="141"/>
      <c r="E209" s="140"/>
      <c r="F209" s="138"/>
      <c r="G209" s="137"/>
      <c r="H209" s="137"/>
      <c r="I209" s="136"/>
    </row>
    <row r="210" spans="1:9" ht="18" customHeight="1" x14ac:dyDescent="0.25">
      <c r="A210" s="129">
        <v>56</v>
      </c>
      <c r="B210" s="113" t="s">
        <v>236</v>
      </c>
      <c r="C210" s="34" t="s">
        <v>28</v>
      </c>
      <c r="D210" s="132">
        <f>E210/H7</f>
        <v>1.3084112149532711E-2</v>
      </c>
      <c r="E210" s="132">
        <v>70</v>
      </c>
      <c r="F210" s="111">
        <v>1</v>
      </c>
      <c r="G210" s="113" t="s">
        <v>6</v>
      </c>
      <c r="H210" s="113" t="s">
        <v>13</v>
      </c>
      <c r="I210" s="127" t="s">
        <v>11</v>
      </c>
    </row>
    <row r="211" spans="1:9" ht="18" customHeight="1" x14ac:dyDescent="0.25">
      <c r="A211" s="130"/>
      <c r="B211" s="131"/>
      <c r="C211" s="18" t="s">
        <v>173</v>
      </c>
      <c r="D211" s="133"/>
      <c r="E211" s="134"/>
      <c r="F211" s="135"/>
      <c r="G211" s="131"/>
      <c r="H211" s="131"/>
      <c r="I211" s="128"/>
    </row>
    <row r="212" spans="1:9" ht="18" customHeight="1" x14ac:dyDescent="0.25">
      <c r="A212" s="115">
        <v>57</v>
      </c>
      <c r="B212" s="117" t="s">
        <v>237</v>
      </c>
      <c r="C212" s="105" t="s">
        <v>28</v>
      </c>
      <c r="D212" s="119">
        <f>E212/H7</f>
        <v>5.6074766355140183E-3</v>
      </c>
      <c r="E212" s="121">
        <v>30</v>
      </c>
      <c r="F212" s="123">
        <v>1</v>
      </c>
      <c r="G212" s="117" t="s">
        <v>6</v>
      </c>
      <c r="H212" s="117" t="s">
        <v>13</v>
      </c>
      <c r="I212" s="125" t="s">
        <v>11</v>
      </c>
    </row>
    <row r="213" spans="1:9" ht="18" customHeight="1" thickBot="1" x14ac:dyDescent="0.3">
      <c r="A213" s="116"/>
      <c r="B213" s="118"/>
      <c r="C213" s="94" t="s">
        <v>174</v>
      </c>
      <c r="D213" s="120"/>
      <c r="E213" s="122"/>
      <c r="F213" s="124"/>
      <c r="G213" s="118"/>
      <c r="H213" s="118"/>
      <c r="I213" s="126"/>
    </row>
    <row r="214" spans="1:9" x14ac:dyDescent="0.25">
      <c r="A214" s="114" t="s">
        <v>234</v>
      </c>
      <c r="B214" s="114"/>
      <c r="C214" s="114"/>
      <c r="D214" s="114"/>
      <c r="E214" s="114"/>
      <c r="F214" s="114"/>
      <c r="G214" s="114"/>
      <c r="H214" s="114"/>
      <c r="I214" s="114"/>
    </row>
    <row r="215" spans="1:9" x14ac:dyDescent="0.25">
      <c r="A215" s="11"/>
      <c r="B215" s="11"/>
      <c r="C215" s="12"/>
      <c r="D215" s="11"/>
      <c r="E215" s="13"/>
      <c r="F215" s="11"/>
      <c r="G215" s="11"/>
      <c r="H215" s="11"/>
      <c r="I215" s="11"/>
    </row>
    <row r="216" spans="1:9" x14ac:dyDescent="0.25">
      <c r="A216" s="11"/>
      <c r="B216" s="11"/>
      <c r="C216" s="12"/>
      <c r="D216" s="11"/>
      <c r="E216" s="13"/>
      <c r="F216" s="11"/>
      <c r="G216" s="11"/>
      <c r="H216" s="11"/>
      <c r="I216" s="11"/>
    </row>
    <row r="217" spans="1:9" x14ac:dyDescent="0.25">
      <c r="A217" s="11"/>
      <c r="B217" s="11"/>
      <c r="C217" s="12"/>
      <c r="D217" s="11"/>
      <c r="E217" s="13"/>
      <c r="F217" s="11"/>
      <c r="G217" s="11"/>
      <c r="H217" s="11"/>
      <c r="I217" s="11"/>
    </row>
    <row r="218" spans="1:9" x14ac:dyDescent="0.25">
      <c r="A218" s="11"/>
      <c r="B218" s="11"/>
      <c r="C218" s="12"/>
      <c r="D218" s="11"/>
      <c r="E218" s="13"/>
      <c r="F218" s="11"/>
      <c r="G218" s="11"/>
      <c r="H218" s="11"/>
      <c r="I218" s="11"/>
    </row>
    <row r="219" spans="1:9" x14ac:dyDescent="0.25">
      <c r="A219" s="11"/>
      <c r="B219" s="11"/>
      <c r="C219" s="12"/>
      <c r="D219" s="11"/>
      <c r="E219" s="13"/>
      <c r="F219" s="11"/>
      <c r="G219" s="11"/>
      <c r="H219" s="11"/>
      <c r="I219" s="11"/>
    </row>
  </sheetData>
  <mergeCells count="433">
    <mergeCell ref="B94:B95"/>
    <mergeCell ref="A94:A95"/>
    <mergeCell ref="D94:D95"/>
    <mergeCell ref="E94:E95"/>
    <mergeCell ref="F94:F95"/>
    <mergeCell ref="G94:G95"/>
    <mergeCell ref="H94:H95"/>
    <mergeCell ref="I94:I95"/>
    <mergeCell ref="A91:A93"/>
    <mergeCell ref="B91:B93"/>
    <mergeCell ref="D91:D93"/>
    <mergeCell ref="E91:E93"/>
    <mergeCell ref="F91:F93"/>
    <mergeCell ref="G91:G93"/>
    <mergeCell ref="H91:H93"/>
    <mergeCell ref="I91:I93"/>
    <mergeCell ref="H199:H200"/>
    <mergeCell ref="I199:I200"/>
    <mergeCell ref="H201:H202"/>
    <mergeCell ref="I201:I202"/>
    <mergeCell ref="G194:G195"/>
    <mergeCell ref="F184:F186"/>
    <mergeCell ref="F187:F189"/>
    <mergeCell ref="F192:F193"/>
    <mergeCell ref="F194:F195"/>
    <mergeCell ref="F196:F198"/>
    <mergeCell ref="H194:H195"/>
    <mergeCell ref="I194:I195"/>
    <mergeCell ref="G196:G198"/>
    <mergeCell ref="H196:H198"/>
    <mergeCell ref="I196:I198"/>
    <mergeCell ref="G184:G186"/>
    <mergeCell ref="H184:H186"/>
    <mergeCell ref="I184:I186"/>
    <mergeCell ref="G187:G189"/>
    <mergeCell ref="H187:H189"/>
    <mergeCell ref="I187:I189"/>
    <mergeCell ref="G192:G193"/>
    <mergeCell ref="H192:H193"/>
    <mergeCell ref="I192:I193"/>
    <mergeCell ref="B196:B198"/>
    <mergeCell ref="E196:E198"/>
    <mergeCell ref="A196:A198"/>
    <mergeCell ref="B199:B200"/>
    <mergeCell ref="A199:A200"/>
    <mergeCell ref="E199:E200"/>
    <mergeCell ref="B201:B202"/>
    <mergeCell ref="A201:A202"/>
    <mergeCell ref="G201:G202"/>
    <mergeCell ref="D196:D198"/>
    <mergeCell ref="D199:D200"/>
    <mergeCell ref="F199:F200"/>
    <mergeCell ref="G199:G200"/>
    <mergeCell ref="B187:B189"/>
    <mergeCell ref="A187:A189"/>
    <mergeCell ref="B192:B193"/>
    <mergeCell ref="A192:A193"/>
    <mergeCell ref="D192:D193"/>
    <mergeCell ref="E192:E193"/>
    <mergeCell ref="B194:B195"/>
    <mergeCell ref="E194:E195"/>
    <mergeCell ref="A194:A195"/>
    <mergeCell ref="D194:D195"/>
    <mergeCell ref="A190:A191"/>
    <mergeCell ref="C190:C191"/>
    <mergeCell ref="D190:D191"/>
    <mergeCell ref="E190:E191"/>
    <mergeCell ref="B190:B191"/>
    <mergeCell ref="B37:B38"/>
    <mergeCell ref="A37:A38"/>
    <mergeCell ref="D37:D38"/>
    <mergeCell ref="E37:E38"/>
    <mergeCell ref="F37:F38"/>
    <mergeCell ref="G37:G38"/>
    <mergeCell ref="H37:H38"/>
    <mergeCell ref="I37:I38"/>
    <mergeCell ref="B184:B186"/>
    <mergeCell ref="A184:A186"/>
    <mergeCell ref="I113:I116"/>
    <mergeCell ref="I157:I171"/>
    <mergeCell ref="A172:A178"/>
    <mergeCell ref="B172:B178"/>
    <mergeCell ref="D172:D178"/>
    <mergeCell ref="E172:E178"/>
    <mergeCell ref="F172:F178"/>
    <mergeCell ref="G172:G178"/>
    <mergeCell ref="H172:H178"/>
    <mergeCell ref="I172:I178"/>
    <mergeCell ref="A157:A171"/>
    <mergeCell ref="B157:B171"/>
    <mergeCell ref="D157:D171"/>
    <mergeCell ref="F134:F143"/>
    <mergeCell ref="A117:I117"/>
    <mergeCell ref="A179:I179"/>
    <mergeCell ref="A182:A183"/>
    <mergeCell ref="B182:B183"/>
    <mergeCell ref="D182:D183"/>
    <mergeCell ref="E182:E183"/>
    <mergeCell ref="F182:F183"/>
    <mergeCell ref="G182:G183"/>
    <mergeCell ref="H182:H183"/>
    <mergeCell ref="I182:I183"/>
    <mergeCell ref="A180:A181"/>
    <mergeCell ref="B180:B181"/>
    <mergeCell ref="D180:D181"/>
    <mergeCell ref="E180:E181"/>
    <mergeCell ref="F180:F181"/>
    <mergeCell ref="G180:G181"/>
    <mergeCell ref="H180:H181"/>
    <mergeCell ref="I180:I181"/>
    <mergeCell ref="G134:G143"/>
    <mergeCell ref="H134:H143"/>
    <mergeCell ref="I134:I143"/>
    <mergeCell ref="I144:I153"/>
    <mergeCell ref="A144:A153"/>
    <mergeCell ref="B144:B153"/>
    <mergeCell ref="A122:I122"/>
    <mergeCell ref="A123:A124"/>
    <mergeCell ref="B123:B124"/>
    <mergeCell ref="D123:D124"/>
    <mergeCell ref="E123:E124"/>
    <mergeCell ref="F123:F124"/>
    <mergeCell ref="G123:G124"/>
    <mergeCell ref="H123:H124"/>
    <mergeCell ref="I123:I124"/>
    <mergeCell ref="A118:A121"/>
    <mergeCell ref="B118:B121"/>
    <mergeCell ref="D118:D121"/>
    <mergeCell ref="E118:E121"/>
    <mergeCell ref="F118:F121"/>
    <mergeCell ref="G118:G121"/>
    <mergeCell ref="H118:H121"/>
    <mergeCell ref="I118:I121"/>
    <mergeCell ref="A109:I109"/>
    <mergeCell ref="A110:A112"/>
    <mergeCell ref="B110:B112"/>
    <mergeCell ref="D110:D112"/>
    <mergeCell ref="E110:E112"/>
    <mergeCell ref="F110:F112"/>
    <mergeCell ref="G110:G112"/>
    <mergeCell ref="H110:H112"/>
    <mergeCell ref="I110:I112"/>
    <mergeCell ref="A113:A116"/>
    <mergeCell ref="B113:B116"/>
    <mergeCell ref="D113:D116"/>
    <mergeCell ref="E113:E116"/>
    <mergeCell ref="F113:F116"/>
    <mergeCell ref="G113:G116"/>
    <mergeCell ref="H113:H116"/>
    <mergeCell ref="A99:A100"/>
    <mergeCell ref="B99:B100"/>
    <mergeCell ref="D99:D100"/>
    <mergeCell ref="E99:E100"/>
    <mergeCell ref="F99:F100"/>
    <mergeCell ref="G99:G100"/>
    <mergeCell ref="H99:H100"/>
    <mergeCell ref="I99:I100"/>
    <mergeCell ref="A102:A103"/>
    <mergeCell ref="B102:B103"/>
    <mergeCell ref="D102:D103"/>
    <mergeCell ref="E102:E103"/>
    <mergeCell ref="A85:A86"/>
    <mergeCell ref="B85:B86"/>
    <mergeCell ref="D85:D86"/>
    <mergeCell ref="E85:E86"/>
    <mergeCell ref="F85:F86"/>
    <mergeCell ref="G85:G86"/>
    <mergeCell ref="H85:H86"/>
    <mergeCell ref="I85:I86"/>
    <mergeCell ref="A96:A97"/>
    <mergeCell ref="B96:B97"/>
    <mergeCell ref="D96:D97"/>
    <mergeCell ref="E96:E97"/>
    <mergeCell ref="F96:F97"/>
    <mergeCell ref="G96:G97"/>
    <mergeCell ref="H96:H97"/>
    <mergeCell ref="I96:I97"/>
    <mergeCell ref="I89:I90"/>
    <mergeCell ref="H89:H90"/>
    <mergeCell ref="G89:G90"/>
    <mergeCell ref="F89:F90"/>
    <mergeCell ref="E89:E90"/>
    <mergeCell ref="D89:D90"/>
    <mergeCell ref="B89:B90"/>
    <mergeCell ref="A89:A90"/>
    <mergeCell ref="A81:A82"/>
    <mergeCell ref="B81:B82"/>
    <mergeCell ref="D81:D82"/>
    <mergeCell ref="E81:E82"/>
    <mergeCell ref="F81:F82"/>
    <mergeCell ref="G81:G82"/>
    <mergeCell ref="H81:H82"/>
    <mergeCell ref="I81:I82"/>
    <mergeCell ref="H83:H84"/>
    <mergeCell ref="I83:I84"/>
    <mergeCell ref="A83:A84"/>
    <mergeCell ref="B83:B84"/>
    <mergeCell ref="D83:D84"/>
    <mergeCell ref="E83:E84"/>
    <mergeCell ref="F83:F84"/>
    <mergeCell ref="G83:G84"/>
    <mergeCell ref="A77:I77"/>
    <mergeCell ref="A78:A80"/>
    <mergeCell ref="B78:B80"/>
    <mergeCell ref="D78:D80"/>
    <mergeCell ref="E78:E80"/>
    <mergeCell ref="F78:F80"/>
    <mergeCell ref="G78:G80"/>
    <mergeCell ref="H78:H80"/>
    <mergeCell ref="A72:A76"/>
    <mergeCell ref="B72:B76"/>
    <mergeCell ref="D72:D76"/>
    <mergeCell ref="E72:E76"/>
    <mergeCell ref="F72:F76"/>
    <mergeCell ref="G72:G76"/>
    <mergeCell ref="I78:I80"/>
    <mergeCell ref="A64:A67"/>
    <mergeCell ref="B64:B67"/>
    <mergeCell ref="D64:D67"/>
    <mergeCell ref="E64:E67"/>
    <mergeCell ref="F64:F67"/>
    <mergeCell ref="G64:G67"/>
    <mergeCell ref="H64:H67"/>
    <mergeCell ref="I64:I67"/>
    <mergeCell ref="H72:H76"/>
    <mergeCell ref="I72:I76"/>
    <mergeCell ref="B68:B71"/>
    <mergeCell ref="D68:D71"/>
    <mergeCell ref="E68:E71"/>
    <mergeCell ref="F68:F71"/>
    <mergeCell ref="G68:G71"/>
    <mergeCell ref="H68:H71"/>
    <mergeCell ref="I68:I71"/>
    <mergeCell ref="A68:A71"/>
    <mergeCell ref="B52:B55"/>
    <mergeCell ref="D52:D55"/>
    <mergeCell ref="E52:E55"/>
    <mergeCell ref="F52:F55"/>
    <mergeCell ref="G52:G55"/>
    <mergeCell ref="A63:I63"/>
    <mergeCell ref="D61:D62"/>
    <mergeCell ref="E61:E62"/>
    <mergeCell ref="F61:F62"/>
    <mergeCell ref="A60:I60"/>
    <mergeCell ref="G35:G36"/>
    <mergeCell ref="H35:H36"/>
    <mergeCell ref="I35:I36"/>
    <mergeCell ref="A35:A36"/>
    <mergeCell ref="B35:B36"/>
    <mergeCell ref="D35:D36"/>
    <mergeCell ref="E35:E36"/>
    <mergeCell ref="F35:F36"/>
    <mergeCell ref="B33:B34"/>
    <mergeCell ref="A33:A34"/>
    <mergeCell ref="E33:E34"/>
    <mergeCell ref="D33:D34"/>
    <mergeCell ref="F33:F34"/>
    <mergeCell ref="G33:G34"/>
    <mergeCell ref="H33:H34"/>
    <mergeCell ref="I33:I34"/>
    <mergeCell ref="A1:I1"/>
    <mergeCell ref="A3:I3"/>
    <mergeCell ref="A4:I4"/>
    <mergeCell ref="A5:A6"/>
    <mergeCell ref="B5:B6"/>
    <mergeCell ref="D5:E5"/>
    <mergeCell ref="G5:G6"/>
    <mergeCell ref="H5:H6"/>
    <mergeCell ref="I5:I6"/>
    <mergeCell ref="A2:I2"/>
    <mergeCell ref="A8:I8"/>
    <mergeCell ref="B30:B32"/>
    <mergeCell ref="A30:A32"/>
    <mergeCell ref="A17:A25"/>
    <mergeCell ref="B17:B25"/>
    <mergeCell ref="D17:D25"/>
    <mergeCell ref="E17:E25"/>
    <mergeCell ref="F17:F25"/>
    <mergeCell ref="G17:G25"/>
    <mergeCell ref="H17:H25"/>
    <mergeCell ref="I17:I25"/>
    <mergeCell ref="A9:A16"/>
    <mergeCell ref="B9:B16"/>
    <mergeCell ref="D9:D16"/>
    <mergeCell ref="E9:E16"/>
    <mergeCell ref="F9:F16"/>
    <mergeCell ref="G9:G16"/>
    <mergeCell ref="H9:H16"/>
    <mergeCell ref="I9:I16"/>
    <mergeCell ref="A26:I26"/>
    <mergeCell ref="H44:H51"/>
    <mergeCell ref="I44:I51"/>
    <mergeCell ref="G61:G62"/>
    <mergeCell ref="H61:H62"/>
    <mergeCell ref="I61:I62"/>
    <mergeCell ref="A61:A62"/>
    <mergeCell ref="B61:B62"/>
    <mergeCell ref="A44:A51"/>
    <mergeCell ref="B44:B51"/>
    <mergeCell ref="D44:D51"/>
    <mergeCell ref="E44:E51"/>
    <mergeCell ref="F44:F51"/>
    <mergeCell ref="G44:G51"/>
    <mergeCell ref="H52:H55"/>
    <mergeCell ref="I52:I55"/>
    <mergeCell ref="A56:A59"/>
    <mergeCell ref="B56:B59"/>
    <mergeCell ref="D56:D59"/>
    <mergeCell ref="E56:E59"/>
    <mergeCell ref="F56:F59"/>
    <mergeCell ref="G56:G59"/>
    <mergeCell ref="H56:H59"/>
    <mergeCell ref="I56:I59"/>
    <mergeCell ref="A52:A55"/>
    <mergeCell ref="A43:I43"/>
    <mergeCell ref="A39:I39"/>
    <mergeCell ref="A40:A42"/>
    <mergeCell ref="B40:B42"/>
    <mergeCell ref="D40:D42"/>
    <mergeCell ref="E40:E42"/>
    <mergeCell ref="F40:F42"/>
    <mergeCell ref="G40:G42"/>
    <mergeCell ref="H40:H42"/>
    <mergeCell ref="I40:I42"/>
    <mergeCell ref="A87:A88"/>
    <mergeCell ref="B87:B88"/>
    <mergeCell ref="D87:D88"/>
    <mergeCell ref="E87:E88"/>
    <mergeCell ref="F87:F88"/>
    <mergeCell ref="G87:G88"/>
    <mergeCell ref="H87:H88"/>
    <mergeCell ref="I87:I88"/>
    <mergeCell ref="A125:I125"/>
    <mergeCell ref="A104:I104"/>
    <mergeCell ref="A105:A108"/>
    <mergeCell ref="B105:B108"/>
    <mergeCell ref="D105:D108"/>
    <mergeCell ref="E105:E108"/>
    <mergeCell ref="F105:F108"/>
    <mergeCell ref="G105:G108"/>
    <mergeCell ref="H105:H108"/>
    <mergeCell ref="I105:I108"/>
    <mergeCell ref="F102:F103"/>
    <mergeCell ref="G102:G103"/>
    <mergeCell ref="H102:H103"/>
    <mergeCell ref="I102:I103"/>
    <mergeCell ref="A101:I101"/>
    <mergeCell ref="A98:I98"/>
    <mergeCell ref="G126:G127"/>
    <mergeCell ref="H126:H127"/>
    <mergeCell ref="I126:I127"/>
    <mergeCell ref="A128:I128"/>
    <mergeCell ref="A129:A130"/>
    <mergeCell ref="B129:B130"/>
    <mergeCell ref="D129:D130"/>
    <mergeCell ref="E129:E130"/>
    <mergeCell ref="F129:F130"/>
    <mergeCell ref="G129:G130"/>
    <mergeCell ref="H129:H130"/>
    <mergeCell ref="I129:I130"/>
    <mergeCell ref="A126:A127"/>
    <mergeCell ref="B126:B127"/>
    <mergeCell ref="D126:D127"/>
    <mergeCell ref="E126:E127"/>
    <mergeCell ref="F126:F127"/>
    <mergeCell ref="A131:A132"/>
    <mergeCell ref="B131:B132"/>
    <mergeCell ref="D131:D132"/>
    <mergeCell ref="E131:E132"/>
    <mergeCell ref="F131:F132"/>
    <mergeCell ref="G131:G132"/>
    <mergeCell ref="H131:H132"/>
    <mergeCell ref="I131:I132"/>
    <mergeCell ref="H157:H171"/>
    <mergeCell ref="H144:H153"/>
    <mergeCell ref="E134:E143"/>
    <mergeCell ref="E157:E171"/>
    <mergeCell ref="F157:F171"/>
    <mergeCell ref="G157:G171"/>
    <mergeCell ref="A133:I133"/>
    <mergeCell ref="A134:A143"/>
    <mergeCell ref="B134:B143"/>
    <mergeCell ref="D134:D143"/>
    <mergeCell ref="D144:D153"/>
    <mergeCell ref="E144:E153"/>
    <mergeCell ref="F144:F153"/>
    <mergeCell ref="G144:G153"/>
    <mergeCell ref="H206:H207"/>
    <mergeCell ref="A203:I203"/>
    <mergeCell ref="B204:B205"/>
    <mergeCell ref="A204:A205"/>
    <mergeCell ref="D204:D205"/>
    <mergeCell ref="E204:E205"/>
    <mergeCell ref="F204:F205"/>
    <mergeCell ref="G204:G205"/>
    <mergeCell ref="H204:H205"/>
    <mergeCell ref="I204:I205"/>
    <mergeCell ref="G208:G209"/>
    <mergeCell ref="F208:F209"/>
    <mergeCell ref="E208:E209"/>
    <mergeCell ref="D208:D209"/>
    <mergeCell ref="B208:B209"/>
    <mergeCell ref="A208:A209"/>
    <mergeCell ref="A206:A207"/>
    <mergeCell ref="B206:B207"/>
    <mergeCell ref="D206:D207"/>
    <mergeCell ref="E206:E207"/>
    <mergeCell ref="F206:F207"/>
    <mergeCell ref="G206:G207"/>
    <mergeCell ref="F190:F191"/>
    <mergeCell ref="G190:G191"/>
    <mergeCell ref="H190:H191"/>
    <mergeCell ref="I190:I191"/>
    <mergeCell ref="A214:I214"/>
    <mergeCell ref="A212:A213"/>
    <mergeCell ref="B212:B213"/>
    <mergeCell ref="D212:D213"/>
    <mergeCell ref="E212:E213"/>
    <mergeCell ref="F212:F213"/>
    <mergeCell ref="G212:G213"/>
    <mergeCell ref="H212:H213"/>
    <mergeCell ref="I212:I213"/>
    <mergeCell ref="I206:I207"/>
    <mergeCell ref="A210:A211"/>
    <mergeCell ref="B210:B211"/>
    <mergeCell ref="D210:D211"/>
    <mergeCell ref="E210:E211"/>
    <mergeCell ref="F210:F211"/>
    <mergeCell ref="G210:G211"/>
    <mergeCell ref="H210:H211"/>
    <mergeCell ref="I210:I211"/>
    <mergeCell ref="I208:I209"/>
    <mergeCell ref="H208:H209"/>
  </mergeCells>
  <pageMargins left="0.51181102362204722" right="0.11811023622047245" top="0.74803149606299213" bottom="0.74803149606299213" header="0.31496062992125984" footer="0.31496062992125984"/>
  <pageSetup paperSize="9" scale="74" fitToHeight="0" orientation="landscape" r:id="rId1"/>
  <rowBreaks count="8" manualBreakCount="8">
    <brk id="34" max="16383" man="1"/>
    <brk id="59" max="16383" man="1"/>
    <brk id="76" max="16383" man="1"/>
    <brk id="97" max="16383" man="1"/>
    <brk id="124" max="16383" man="1"/>
    <brk id="153" max="16383" man="1"/>
    <brk id="178" max="16383" man="1"/>
    <brk id="20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21B9-87B0-4FF8-B16C-5DA59D6AF906}">
  <sheetPr>
    <pageSetUpPr fitToPage="1"/>
  </sheetPr>
  <dimension ref="A1:I16"/>
  <sheetViews>
    <sheetView zoomScaleNormal="100" workbookViewId="0">
      <selection activeCell="M12" sqref="M12"/>
    </sheetView>
  </sheetViews>
  <sheetFormatPr baseColWidth="10" defaultRowHeight="15" x14ac:dyDescent="0.25"/>
  <cols>
    <col min="1" max="1" width="3.140625" customWidth="1"/>
    <col min="2" max="2" width="20.28515625" customWidth="1"/>
    <col min="3" max="3" width="57.28515625" style="2" customWidth="1"/>
    <col min="4" max="4" width="8.28515625" customWidth="1"/>
    <col min="5" max="5" width="11.42578125" style="1"/>
    <col min="6" max="6" width="12.42578125" customWidth="1"/>
    <col min="7" max="7" width="16.28515625" customWidth="1"/>
    <col min="8" max="8" width="15.7109375" customWidth="1"/>
    <col min="9" max="9" width="16" customWidth="1"/>
  </cols>
  <sheetData>
    <row r="1" spans="1:9" ht="17.25" customHeight="1" x14ac:dyDescent="0.25">
      <c r="A1" s="287" t="s">
        <v>36</v>
      </c>
      <c r="B1" s="287"/>
      <c r="C1" s="287"/>
      <c r="D1" s="287"/>
      <c r="E1" s="287"/>
      <c r="F1" s="287"/>
      <c r="G1" s="287"/>
      <c r="H1" s="287"/>
      <c r="I1" s="287"/>
    </row>
    <row r="2" spans="1:9" ht="23.25" customHeight="1" x14ac:dyDescent="0.25">
      <c r="A2" s="221" t="s">
        <v>165</v>
      </c>
      <c r="B2" s="221"/>
      <c r="C2" s="221"/>
      <c r="D2" s="221"/>
      <c r="E2" s="221"/>
      <c r="F2" s="221"/>
      <c r="G2" s="221"/>
      <c r="H2" s="221"/>
      <c r="I2" s="221"/>
    </row>
    <row r="3" spans="1:9" ht="21.75" customHeight="1" x14ac:dyDescent="0.25">
      <c r="A3" s="288" t="s">
        <v>194</v>
      </c>
      <c r="B3" s="288"/>
      <c r="C3" s="288"/>
      <c r="D3" s="288"/>
      <c r="E3" s="288"/>
      <c r="F3" s="288"/>
      <c r="G3" s="288"/>
      <c r="H3" s="288"/>
      <c r="I3" s="288"/>
    </row>
    <row r="4" spans="1:9" ht="27.6" customHeight="1" x14ac:dyDescent="0.25">
      <c r="A4" s="223" t="s">
        <v>7</v>
      </c>
      <c r="B4" s="224" t="s">
        <v>38</v>
      </c>
      <c r="C4" s="15" t="s">
        <v>0</v>
      </c>
      <c r="D4" s="224" t="s">
        <v>29</v>
      </c>
      <c r="E4" s="224"/>
      <c r="F4" s="15" t="s">
        <v>2</v>
      </c>
      <c r="G4" s="224" t="s">
        <v>4</v>
      </c>
      <c r="H4" s="224" t="s">
        <v>8</v>
      </c>
      <c r="I4" s="224" t="s">
        <v>3</v>
      </c>
    </row>
    <row r="5" spans="1:9" x14ac:dyDescent="0.25">
      <c r="A5" s="223"/>
      <c r="B5" s="224"/>
      <c r="C5" s="15" t="s">
        <v>39</v>
      </c>
      <c r="D5" s="14" t="s">
        <v>1</v>
      </c>
      <c r="E5" s="16" t="s">
        <v>40</v>
      </c>
      <c r="F5" s="14" t="s">
        <v>41</v>
      </c>
      <c r="G5" s="224"/>
      <c r="H5" s="224"/>
      <c r="I5" s="224"/>
    </row>
    <row r="6" spans="1:9" ht="6.75" customHeight="1" x14ac:dyDescent="0.25">
      <c r="A6" s="24"/>
      <c r="B6" s="20"/>
      <c r="C6" s="20"/>
      <c r="D6" s="21"/>
      <c r="E6" s="22"/>
      <c r="F6" s="21"/>
      <c r="G6" s="20"/>
      <c r="H6" s="20">
        <v>5350</v>
      </c>
      <c r="I6" s="23"/>
    </row>
    <row r="7" spans="1:9" x14ac:dyDescent="0.25">
      <c r="A7" s="286" t="s">
        <v>32</v>
      </c>
      <c r="B7" s="286"/>
      <c r="C7" s="286"/>
      <c r="D7" s="286"/>
      <c r="E7" s="286"/>
      <c r="F7" s="286"/>
      <c r="G7" s="286"/>
      <c r="H7" s="286"/>
      <c r="I7" s="286"/>
    </row>
    <row r="8" spans="1:9" ht="33.75" x14ac:dyDescent="0.25">
      <c r="A8" s="4">
        <v>33</v>
      </c>
      <c r="B8" s="5" t="s">
        <v>33</v>
      </c>
      <c r="C8" s="9" t="s">
        <v>27</v>
      </c>
      <c r="D8" s="35">
        <f>E8/H6</f>
        <v>4.6728971962616819E-3</v>
      </c>
      <c r="E8" s="8">
        <v>25</v>
      </c>
      <c r="F8" s="4">
        <v>1</v>
      </c>
      <c r="G8" s="5" t="s">
        <v>6</v>
      </c>
      <c r="H8" s="5" t="s">
        <v>13</v>
      </c>
      <c r="I8" s="5" t="s">
        <v>11</v>
      </c>
    </row>
    <row r="9" spans="1:9" ht="14.45" customHeight="1" x14ac:dyDescent="0.25">
      <c r="A9" s="110">
        <v>34</v>
      </c>
      <c r="B9" s="112" t="s">
        <v>25</v>
      </c>
      <c r="C9" s="6" t="s">
        <v>28</v>
      </c>
      <c r="D9" s="159">
        <f>E9/H6</f>
        <v>2.8037383177570093E-2</v>
      </c>
      <c r="E9" s="161">
        <v>150</v>
      </c>
      <c r="F9" s="110">
        <v>2</v>
      </c>
      <c r="G9" s="113" t="s">
        <v>6</v>
      </c>
      <c r="H9" s="112" t="s">
        <v>13</v>
      </c>
      <c r="I9" s="112" t="s">
        <v>11</v>
      </c>
    </row>
    <row r="10" spans="1:9" x14ac:dyDescent="0.25">
      <c r="A10" s="110"/>
      <c r="B10" s="112"/>
      <c r="C10" s="10" t="s">
        <v>15</v>
      </c>
      <c r="D10" s="159"/>
      <c r="E10" s="161"/>
      <c r="F10" s="110"/>
      <c r="G10" s="131"/>
      <c r="H10" s="112"/>
      <c r="I10" s="112"/>
    </row>
    <row r="11" spans="1:9" ht="22.5" x14ac:dyDescent="0.25">
      <c r="A11" s="4">
        <v>36</v>
      </c>
      <c r="B11" s="5" t="s">
        <v>35</v>
      </c>
      <c r="C11" s="9" t="s">
        <v>34</v>
      </c>
      <c r="D11" s="7">
        <f>E11/H6</f>
        <v>1.8691588785046728E-2</v>
      </c>
      <c r="E11" s="8">
        <v>100</v>
      </c>
      <c r="F11" s="4">
        <v>1</v>
      </c>
      <c r="G11" s="5" t="s">
        <v>6</v>
      </c>
      <c r="H11" s="5" t="s">
        <v>13</v>
      </c>
      <c r="I11" s="5" t="s">
        <v>11</v>
      </c>
    </row>
    <row r="12" spans="1:9" ht="22.5" x14ac:dyDescent="0.25">
      <c r="A12" s="4">
        <v>38</v>
      </c>
      <c r="B12" s="5" t="s">
        <v>238</v>
      </c>
      <c r="C12" s="9" t="s">
        <v>34</v>
      </c>
      <c r="D12" s="7">
        <f>E12/H6</f>
        <v>1.1214953271028037E-2</v>
      </c>
      <c r="E12" s="8">
        <v>60</v>
      </c>
      <c r="F12" s="4">
        <v>1</v>
      </c>
      <c r="G12" s="5" t="s">
        <v>6</v>
      </c>
      <c r="H12" s="5" t="s">
        <v>13</v>
      </c>
      <c r="I12" s="5" t="s">
        <v>11</v>
      </c>
    </row>
    <row r="13" spans="1:9" ht="22.5" x14ac:dyDescent="0.25">
      <c r="A13" s="4">
        <v>39</v>
      </c>
      <c r="B13" s="5" t="s">
        <v>239</v>
      </c>
      <c r="C13" s="9" t="s">
        <v>34</v>
      </c>
      <c r="D13" s="7">
        <f>E13/H6</f>
        <v>3.7383177570093459E-3</v>
      </c>
      <c r="E13" s="8">
        <v>20</v>
      </c>
      <c r="F13" s="4">
        <v>1</v>
      </c>
      <c r="G13" s="5" t="s">
        <v>6</v>
      </c>
      <c r="H13" s="5" t="s">
        <v>13</v>
      </c>
      <c r="I13" s="5" t="s">
        <v>11</v>
      </c>
    </row>
    <row r="14" spans="1:9" x14ac:dyDescent="0.25">
      <c r="A14" s="11"/>
      <c r="B14" s="11"/>
      <c r="C14" s="12"/>
      <c r="D14" s="11"/>
      <c r="E14" s="13"/>
      <c r="F14" s="11"/>
      <c r="G14" s="11"/>
      <c r="H14" s="11"/>
      <c r="I14" s="11"/>
    </row>
    <row r="15" spans="1:9" x14ac:dyDescent="0.25">
      <c r="A15" s="11"/>
      <c r="B15" s="11"/>
      <c r="C15" s="12"/>
      <c r="D15" s="11"/>
      <c r="E15" s="13"/>
      <c r="F15" s="11"/>
      <c r="G15" s="11"/>
      <c r="H15" s="11"/>
      <c r="I15" s="11"/>
    </row>
    <row r="16" spans="1:9" x14ac:dyDescent="0.25">
      <c r="A16" s="11"/>
      <c r="B16" s="11"/>
      <c r="C16" s="12"/>
      <c r="D16" s="11"/>
      <c r="E16" s="13"/>
      <c r="F16" s="11"/>
      <c r="G16" s="11"/>
      <c r="H16" s="11"/>
      <c r="I16" s="11"/>
    </row>
  </sheetData>
  <mergeCells count="18">
    <mergeCell ref="A1:I1"/>
    <mergeCell ref="A2:I2"/>
    <mergeCell ref="A3:I3"/>
    <mergeCell ref="A4:A5"/>
    <mergeCell ref="B4:B5"/>
    <mergeCell ref="D4:E4"/>
    <mergeCell ref="G4:G5"/>
    <mergeCell ref="H4:H5"/>
    <mergeCell ref="I4:I5"/>
    <mergeCell ref="A7:I7"/>
    <mergeCell ref="A9:A10"/>
    <mergeCell ref="B9:B10"/>
    <mergeCell ref="D9:D10"/>
    <mergeCell ref="E9:E10"/>
    <mergeCell ref="F9:F10"/>
    <mergeCell ref="G9:G10"/>
    <mergeCell ref="H9:H10"/>
    <mergeCell ref="I9:I10"/>
  </mergeCells>
  <pageMargins left="0.70866141732283472" right="0.70866141732283472" top="0.74803149606299213" bottom="0.74803149606299213" header="0.31496062992125984" footer="0.31496062992125984"/>
  <pageSetup paperSize="9" scale="9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TUSNE</vt:lpstr>
      <vt:lpstr>TUPA</vt:lpstr>
      <vt:lpstr>TUPA!Títulos_a_imprimir</vt:lpstr>
      <vt:lpstr>TUSNE!Títulos_a_imprimir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WasiCont</dc:creator>
  <cp:lastModifiedBy>rene castillo arocutipa</cp:lastModifiedBy>
  <cp:lastPrinted>2025-12-30T15:15:56Z</cp:lastPrinted>
  <dcterms:created xsi:type="dcterms:W3CDTF">2023-03-22T15:41:53Z</dcterms:created>
  <dcterms:modified xsi:type="dcterms:W3CDTF">2026-05-26T14:36:33Z</dcterms:modified>
</cp:coreProperties>
</file>